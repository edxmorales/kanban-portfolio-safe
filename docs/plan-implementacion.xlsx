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4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Cómo usar" sheetId="1" state="visible" r:id="rId3"/>
    <sheet name="Hoja de ruta" sheetId="2" state="visible" r:id="rId4"/>
    <sheet name="Seguimiento de proyectos" sheetId="3" state="visible" r:id="rId5"/>
    <sheet name="Resumen" sheetId="4" state="visible" r:id="rId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<sst xmlns="http://schemas.openxmlformats.org/spreadsheetml/2006/main" count="162" uniqueCount="122">
  <si>
    <t xml:space="preserve">Plantilla de implementación por prioridades — cómo usarla</t>
  </si>
  <si>
    <t xml:space="preserve">Pensada para que cualquier equipo la tome y la adapte, sin depender de una herramienta específica.</t>
  </si>
  <si>
    <t xml:space="preserve">Qué es</t>
  </si>
  <si>
    <t xml:space="preserve">Una plantilla de dos partes: una hoja de ruta general (10 pasos, de diagnóstico a piloto) y una hoja de seguimiento de proyectos — la parte más densa, porque es donde entra cada solicitud real del negocio y se decide qué se hace primero.</t>
  </si>
  <si>
    <t xml:space="preserve">Para quién</t>
  </si>
  <si>
    <t xml:space="preserve">Dueños de negocio, líderes de equipo y cualquier persona que necesite ver en un solo lugar qué se está trabajando, por qué, y en qué orden — sin lenguaje técnico.</t>
  </si>
  <si>
    <t xml:space="preserve">Hoja 'Hoja de ruta'</t>
  </si>
  <si>
    <t xml:space="preserve">Los 10 pasos generales de instalar el modelo de trabajo. Ya tiene un ejemplo real en el paso 0 (resaltado en azul claro) para mostrar cómo se ve un paso avanzando.</t>
  </si>
  <si>
    <t xml:space="preserve">Hoja 'Seguimiento de proyectos'</t>
  </si>
  <si>
    <t xml:space="preserve">El registro vivo de cada proyecto o solicitud: de dónde viene, qué tan urgente es, qué tan grande es, y una prioridad que se calcula sola combinando esas dos cosas — no a criterio de quién pide más fuerte. Tiene 4 filas de ejemplo (resaltadas en azul claro) y 2 filas vacías listas para usar.</t>
  </si>
  <si>
    <t xml:space="preserve">Hoja 'Resumen'</t>
  </si>
  <si>
    <t xml:space="preserve">Un panel visual que se actualiza solo a partir de las otras dos hojas — no se edita directamente.</t>
  </si>
  <si>
    <t xml:space="preserve">Cómo se calcula la prioridad</t>
  </si>
  <si>
    <t xml:space="preserve">Se combinan dos preguntas simples: '¿qué tan grave es si esto se atrasa una semana?' (impacto) y '¿qué tan grande es el esfuerzo?' (tamaño). La combinación da la prioridad automáticamente, según la matriz que está al lado de la tabla en la hoja 'Seguimiento de proyectos' (columnas O a R). Impacto alto + esfuerzo pequeño siempre gana — es la forma más simple de evitar que lo urgente-pero-fácil se quede esperando detrás de algo grande y menos importante.</t>
  </si>
  <si>
    <t xml:space="preserve">Qué editar</t>
  </si>
  <si>
    <t xml:space="preserve">Las celdas en amarillo son las que se completan para cada paso o proyecto nuevo. Las celdas en azul claro son ejemplos — bórralos o reemplázalos cuando empieces a usar la plantilla con datos reales. No toques las columnas de prioridad, ni la hoja 'Resumen': ambas se calculan solas.</t>
  </si>
  <si>
    <t xml:space="preserve">Sin nombrar herramientas</t>
  </si>
  <si>
    <t xml:space="preserve">Esta plantilla no asume ningún software de gestión de trabajo en particular — es una forma de pensar y ordenar decisiones, no un sistema. Se puede usar en esta hoja de cálculo o trasladar la misma lógica a cualquier otra herramienta que el equipo ya use.</t>
  </si>
  <si>
    <t xml:space="preserve">Plan de implementación — de un diagnóstico inicial a un modelo de trabajo por prioridades</t>
  </si>
  <si>
    <t xml:space="preserve">Cada fila es un paso. Completa Responsable, Estado, Fechas y Notas a medida que avanzas — cualquier persona del equipo puede tomarlo desde donde quedó.</t>
  </si>
  <si>
    <t xml:space="preserve">Fase</t>
  </si>
  <si>
    <t xml:space="preserve">Paso</t>
  </si>
  <si>
    <t xml:space="preserve">Qué se hace</t>
  </si>
  <si>
    <t xml:space="preserve">Por qué importa para el negocio</t>
  </si>
  <si>
    <t xml:space="preserve">Responsable</t>
  </si>
  <si>
    <t xml:space="preserve">Estado</t>
  </si>
  <si>
    <t xml:space="preserve">Fecha objetivo</t>
  </si>
  <si>
    <t xml:space="preserve">Fecha real de cierre</t>
  </si>
  <si>
    <t xml:space="preserve">Notas</t>
  </si>
  <si>
    <t xml:space="preserve">Diagnóstico inicial (línea base)</t>
  </si>
  <si>
    <t xml:space="preserve">Entender con datos reales cómo está el equipo hoy: cuánto trabajo tiene cada persona, qué tan respetados están los límites ya acordados, qué iniciativas están realmente avanzando y cuáles llevan tiempo detenidas sin que nadie lo haya decidido, y si el control de calidad tiene capacidad real o está saturado.</t>
  </si>
  <si>
    <t xml:space="preserve">Sin esto, cualquier decisión que se tome después es una suposición, no un hecho.</t>
  </si>
  <si>
    <t xml:space="preserve">En curso</t>
  </si>
  <si>
    <t xml:space="preserve">El diagnóstico de la parte de seguridad e infraestructura ya se completó.</t>
  </si>
  <si>
    <t xml:space="preserve">Lenguaje común</t>
  </si>
  <si>
    <t xml:space="preserve">Acordar en una sola página cómo le va a llamar todo el equipo a cada pieza del nuevo modelo de trabajo, para que nadie interprete distinto lo mismo.</t>
  </si>
  <si>
    <t xml:space="preserve">Evita malentendidos y resistencia al cambio desde el principio.</t>
  </si>
  <si>
    <t xml:space="preserve">No iniciado</t>
  </si>
  <si>
    <t xml:space="preserve">Delimitar el alcance</t>
  </si>
  <si>
    <t xml:space="preserve">Definir por escrito qué NO se va a implementar todavía, para no sobrecargar al equipo con procesos que no necesita a su tamaño actual.</t>
  </si>
  <si>
    <t xml:space="preserve">Evita burocracia innecesaria y protege el tiempo del equipo.</t>
  </si>
  <si>
    <t xml:space="preserve">Priorización objetiva</t>
  </si>
  <si>
    <t xml:space="preserve">Reemplazar la discusión informal de "qué es más urgente" por una forma de calcular la prioridad con números, basada en el impacto para el negocio y el esfuerzo que toma. (Ver el detalle aplicado a proyectos en la hoja 'Seguimiento de proyectos'.)</t>
  </si>
  <si>
    <t xml:space="preserve">Las decisiones de prioridad quedan sustentadas en datos, no en quién insiste más fuerte.</t>
  </si>
  <si>
    <t xml:space="preserve">Agrupar por valor de negocio</t>
  </si>
  <si>
    <t xml:space="preserve">Organizar las iniciativas actuales según el valor que le entregan al negocio, no según el nombre del proyecto o quién lo pidió.</t>
  </si>
  <si>
    <t xml:space="preserve">Permite mover personas entre iniciativas relacionadas sin que se sienta como abandonar algo.</t>
  </si>
  <si>
    <t xml:space="preserve">Responsables y respaldos</t>
  </si>
  <si>
    <t xml:space="preserve">Nombrar quién toma cada decisión clave del nuevo modelo, y quién la respalda si esa persona no está disponible.</t>
  </si>
  <si>
    <t xml:space="preserve">Evita que las reglas se rompan bajo presión o que todo dependa de una sola persona.</t>
  </si>
  <si>
    <t xml:space="preserve">Sesiones cortas de ajuste</t>
  </si>
  <si>
    <t xml:space="preserve">Cambiar las reuniones largas de planificación por una sesión corta cada trimestre para ajustar el modelo con datos reales.</t>
  </si>
  <si>
    <t xml:space="preserve">Mantiene la disciplina del proceso sin consumir tiempo excesivo del equipo.</t>
  </si>
  <si>
    <t xml:space="preserve">Mecanismos de control</t>
  </si>
  <si>
    <t xml:space="preserve">Activar reglas concretas: quién atiende lo urgente cada semana (rotativo, no siempre la misma persona), qué tan costosa es cada interrupción, y qué pasa si un pendiente técnico se deja acumular sin atender.</t>
  </si>
  <si>
    <t xml:space="preserve">Hace visible el costo real de lo urgente y evita que el conocimiento clave se concentre en pocas personas.</t>
  </si>
  <si>
    <t xml:space="preserve">Piloto controlado (4 a 6 semanas)</t>
  </si>
  <si>
    <t xml:space="preserve">Aplicar todo lo anterior en una parte acotada del equipo, con una forma de medir el antes y el después ya acordada desde el inicio. Usa la hoja 'Seguimiento de proyectos' para registrar cada solicitud real que entre durante el piloto.</t>
  </si>
  <si>
    <t xml:space="preserve">Reduce el riesgo de imponer el cambio a todo el equipo de una sola vez.</t>
  </si>
  <si>
    <t xml:space="preserve">Medir y decidir</t>
  </si>
  <si>
    <t xml:space="preserve">Revisar los resultados del piloto contra lo que se acordó como éxito, y decidir si se expande, se ajusta, o se documenta como aprendizaje.</t>
  </si>
  <si>
    <t xml:space="preserve">Cierra el ciclo con evidencia real, no con una opinión.</t>
  </si>
  <si>
    <t xml:space="preserve">Cómo usar esta hoja: completa las columnas resaltadas (Responsable, Estado, Fechas, Notas) para cada paso. El paso 0 ya tiene un ejemplo real de cómo se ve un paso "En curso".</t>
  </si>
  <si>
    <t xml:space="preserve">Seguimiento de proyectos — de cada solicitud a una prioridad clara</t>
  </si>
  <si>
    <t xml:space="preserve">Un renglón por proyecto o solicitud. La columna 'Prioridad' se calcula sola — no la edites a mano.</t>
  </si>
  <si>
    <t xml:space="preserve">Proyecto</t>
  </si>
  <si>
    <t xml:space="preserve">Área o persona solicitante</t>
  </si>
  <si>
    <t xml:space="preserve">Qué problema de negocio resuelve</t>
  </si>
  <si>
    <t xml:space="preserve">Tipo de solicitud</t>
  </si>
  <si>
    <t xml:space="preserve">Impacto si se retrasa una semana</t>
  </si>
  <si>
    <t xml:space="preserve">Tamaño del esfuerzo</t>
  </si>
  <si>
    <t xml:space="preserve">Prioridad</t>
  </si>
  <si>
    <t xml:space="preserve">Línea de trabajo asignada</t>
  </si>
  <si>
    <t xml:space="preserve">Fecha estimada de inicio</t>
  </si>
  <si>
    <t xml:space="preserve">Fecha estimada de entrega</t>
  </si>
  <si>
    <t xml:space="preserve">Matriz de prioridad (no editar — solo consulta)</t>
  </si>
  <si>
    <t xml:space="preserve">Portal de autoservicio para clientes</t>
  </si>
  <si>
    <t xml:space="preserve">Área comercial</t>
  </si>
  <si>
    <t xml:space="preserve">Reducir llamadas al área de atención por consultas simples que el cliente podría resolver solo.</t>
  </si>
  <si>
    <t xml:space="preserve">Tiene fecha límite real</t>
  </si>
  <si>
    <t xml:space="preserve">Alto</t>
  </si>
  <si>
    <t xml:space="preserve">Grande</t>
  </si>
  <si>
    <t xml:space="preserve">Producto y experiencia de cliente</t>
  </si>
  <si>
    <t xml:space="preserve">Depende de que el área legal apruebe los textos antes de publicar.</t>
  </si>
  <si>
    <t xml:space="preserve">Impacto \ Tamaño</t>
  </si>
  <si>
    <t xml:space="preserve">Pequeño</t>
  </si>
  <si>
    <t xml:space="preserve">Mediano</t>
  </si>
  <si>
    <t xml:space="preserve">Automatizar el reporte semanal de indicadores</t>
  </si>
  <si>
    <t xml:space="preserve">Operaciones</t>
  </si>
  <si>
    <t xml:space="preserve">Hoy una persona arma el reporte a mano cada semana; automatizarlo libera ese tiempo para otras prioridades.</t>
  </si>
  <si>
    <t xml:space="preserve">Puede esperar y priorizarse</t>
  </si>
  <si>
    <t xml:space="preserve">Medio</t>
  </si>
  <si>
    <t xml:space="preserve">Datos y reportes internos</t>
  </si>
  <si>
    <t xml:space="preserve">Muy alta</t>
  </si>
  <si>
    <t xml:space="preserve">Alta</t>
  </si>
  <si>
    <t xml:space="preserve">Cerrar hallazgos del diagnóstico de seguridad e infraestructura</t>
  </si>
  <si>
    <t xml:space="preserve">Infraestructura</t>
  </si>
  <si>
    <t xml:space="preserve">Atender los riesgos ya identificados en un diagnóstico externo antes de que se conviertan en un incidente.</t>
  </si>
  <si>
    <t xml:space="preserve">Urgente ahora</t>
  </si>
  <si>
    <t xml:space="preserve">Plataforma e infraestructura</t>
  </si>
  <si>
    <t xml:space="preserve">Viene de un diagnóstico ya completado; no es un proyecto nuevo desde cero.</t>
  </si>
  <si>
    <t xml:space="preserve">Media</t>
  </si>
  <si>
    <t xml:space="preserve">Actualizar librería interna de componentes visuales</t>
  </si>
  <si>
    <t xml:space="preserve">Equipo de desarrollo</t>
  </si>
  <si>
    <t xml:space="preserve">Reduce el tiempo de mantenimiento futuro, pero no resuelve una necesidad urgente de negocio hoy.</t>
  </si>
  <si>
    <t xml:space="preserve">Es mantenimiento o mejora interna</t>
  </si>
  <si>
    <t xml:space="preserve">Bajo</t>
  </si>
  <si>
    <t xml:space="preserve">Bloqueado</t>
  </si>
  <si>
    <t xml:space="preserve">Bloqueado por falta de capacidad disponible esta semana.</t>
  </si>
  <si>
    <t xml:space="preserve">Baja</t>
  </si>
  <si>
    <t xml:space="preserve">Cómo leerla: impacto alto + esfuerzo pequeño siempre gana. Así lo urgente-pero-rápido de resolver no queda esperando detrás de algo grande y menos importante para el negocio.</t>
  </si>
  <si>
    <t xml:space="preserve">Cómo usar esta hoja: completa un renglón por cada proyecto o solicitud nueva (columnas en amarillo). Las 4 filas en azul claro son ejemplos — bórralas o reemplázalas cuando empieces a registrar proyectos reales. No edites la columna 'Prioridad' ni la matriz de la derecha: se calculan solas.</t>
  </si>
  <si>
    <t xml:space="preserve">Resumen de avance</t>
  </si>
  <si>
    <t xml:space="preserve">Se actualiza solo — no edites esta hoja, edita 'Hoja de ruta' y 'Seguimiento de proyectos'.</t>
  </si>
  <si>
    <t xml:space="preserve">% de la hoja de ruta completado</t>
  </si>
  <si>
    <t xml:space="preserve">Proyectos registrados</t>
  </si>
  <si>
    <t xml:space="preserve">Estado (hoja de ruta)</t>
  </si>
  <si>
    <t xml:space="preserve">Cantidad de pasos</t>
  </si>
  <si>
    <t xml:space="preserve">Cantidad de proyectos</t>
  </si>
  <si>
    <t xml:space="preserve">Estado (proyectos)</t>
  </si>
  <si>
    <t xml:space="preserve">Cantidad</t>
  </si>
  <si>
    <t xml:space="preserve">Completado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</si>
</sst>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0%"/>
    <numFmt numFmtId="166" formatCode="General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1A1A19"/>
      <name val="Arial"/>
      <family val="0"/>
      <charset val="1"/>
    </font>
    <font>
      <i val="true"/>
      <sz val="10"/>
      <color rgb="FF52514E"/>
      <name val="Arial"/>
      <family val="0"/>
      <charset val="1"/>
    </font>
    <font>
      <b val="true"/>
      <sz val="11"/>
      <color rgb="FF1A1A19"/>
      <name val="Arial"/>
      <family val="0"/>
      <charset val="1"/>
    </font>
    <font>
      <sz val="10.5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i val="true"/>
      <sz val="9.5"/>
      <color rgb="FF52514E"/>
      <name val="Arial"/>
      <family val="0"/>
      <charset val="1"/>
    </font>
    <font>
      <b val="true"/>
      <sz val="10.5"/>
      <name val="Arial"/>
      <family val="0"/>
      <charset val="1"/>
    </font>
    <font>
      <b val="true"/>
      <sz val="36"/>
      <color rgb="FF1A1A19"/>
      <name val="Arial"/>
      <family val="0"/>
      <charset val="1"/>
    </font>
    <font>
      <sz val="9"/>
      <name val="Arial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rgb="FF1A1A19"/>
        <bgColor rgb="FF003300"/>
      </patternFill>
    </fill>
    <fill>
      <patternFill patternType="solid">
        <fgColor rgb="FFFFF9E0"/>
        <bgColor rgb="FFFFFFFF"/>
      </patternFill>
    </fill>
    <fill>
      <patternFill patternType="solid">
        <fgColor rgb="FFEAF1FB"/>
        <bgColor rgb="FFE7E6E1"/>
      </patternFill>
    </fill>
    <fill>
      <patternFill patternType="solid">
        <fgColor rgb="FFE7E6E1"/>
        <bgColor rgb="FFEAF1FB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8D7D0"/>
      </left>
      <right style="thin">
        <color rgb="FFD8D7D0"/>
      </right>
      <top style="thin">
        <color rgb="FFD8D7D0"/>
      </top>
      <bottom style="thin">
        <color rgb="FFD8D7D0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1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11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2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CA30C"/>
      <rgbColor rgb="FF000080"/>
      <rgbColor rgb="FF808000"/>
      <rgbColor rgb="FF800080"/>
      <rgbColor rgb="FF008080"/>
      <rgbColor rgb="FFC3C2B7"/>
      <rgbColor rgb="FF878787"/>
      <rgbColor rgb="FF7EA6D2"/>
      <rgbColor rgb="FFD03B3B"/>
      <rgbColor rgb="FFFFF9E0"/>
      <rgbColor rgb="FFEAF1FB"/>
      <rgbColor rgb="FF660066"/>
      <rgbColor rgb="FFFF8080"/>
      <rgbColor rgb="FF0066CC"/>
      <rgbColor rgb="FFC7DB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D9D9"/>
      <rgbColor rgb="FFE7E6E1"/>
      <rgbColor rgb="FFFFFF99"/>
      <rgbColor rgb="FF99CCFF"/>
      <rgbColor rgb="FFFF99CC"/>
      <rgbColor rgb="FFCC99FF"/>
      <rgbColor rgb="FFD8D7D0"/>
      <rgbColor rgb="FF3366FF"/>
      <rgbColor rgb="FF33CCCC"/>
      <rgbColor rgb="FF99CC00"/>
      <rgbColor rgb="FFFFCC00"/>
      <rgbColor rgb="FFFAB219"/>
      <rgbColor rgb="FFFF6600"/>
      <rgbColor rgb="FF3D6FA6"/>
      <rgbColor rgb="FF898781"/>
      <rgbColor rgb="FF1B3F66"/>
      <rgbColor rgb="FF339966"/>
      <rgbColor rgb="FF003300"/>
      <rgbColor rgb="FF1A1A19"/>
      <rgbColor rgb="FF993300"/>
      <rgbColor rgb="FF993366"/>
      <rgbColor rgb="FF333399"/>
      <rgbColor rgb="FF52514E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Pasos de la hoja de ruta por estado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bar"/>
        <c:grouping val="clustered"/>
        <c:varyColors val="0"/>
        <c:ser>
          <c:idx val="0"/>
          <c:order val="0"/>
          <c:tx>
            <c:strRef>
              <c:f>Resumen!B8</c:f>
              <c:strCache>
                <c:ptCount val="1"/>
                <c:pt idx="0">
                  <c:v>Cantidad de pasos</c:v>
                </c:pt>
              </c:strCache>
            </c:strRef>
          </c:tx>
          <c:spPr>
            <a:solidFill>
              <a:srgbClr val="898781"/>
            </a:solidFill>
            <a:ln w="0">
              <a:noFill/>
            </a:ln>
          </c:spPr>
          <c:invertIfNegative val="0"/>
          <c:dPt>
            <c:idx val="0"/>
            <c:invertIfNegative val="0"/>
            <c:spPr>
              <a:solidFill>
                <a:srgbClr val="0ca30c"/>
              </a:solidFill>
              <a:ln w="0">
                <a:noFill/>
              </a:ln>
            </c:spPr>
          </c:dPt>
          <c:dPt>
            <c:idx val="1"/>
            <c:invertIfNegative val="0"/>
            <c:spPr>
              <a:solidFill>
                <a:srgbClr val="fab219"/>
              </a:solidFill>
              <a:ln w="0">
                <a:noFill/>
              </a:ln>
            </c:spPr>
          </c:dPt>
          <c:dPt>
            <c:idx val="2"/>
            <c:invertIfNegative val="0"/>
            <c:spPr>
              <a:solidFill>
                <a:srgbClr val="d03b3b"/>
              </a:solidFill>
              <a:ln w="0">
                <a:noFill/>
              </a:ln>
            </c:spPr>
          </c:dPt>
          <c:dPt>
            <c:idx val="3"/>
            <c:invertIfNegative val="0"/>
            <c:spPr>
              <a:solidFill>
                <a:srgbClr val="c3c2b7"/>
              </a:solidFill>
              <a:ln w="0">
                <a:noFill/>
              </a:ln>
            </c:spPr>
          </c:dPt>
          <c:dLbls>
            <c:dLbl>
              <c:idx val="0"/>
              <c:txPr>
                <a:bodyPr wrap="none"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1"/>
              <c:txPr>
                <a:bodyPr wrap="none"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2"/>
              <c:txPr>
                <a:bodyPr wrap="none"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3"/>
              <c:txPr>
                <a:bodyPr wrap="none"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Resumen!$A$9:$A$12</c:f>
              <c:strCache>
                <c:ptCount val="4"/>
                <c:pt idx="0">
                  <c:v>Completado</c:v>
                </c:pt>
                <c:pt idx="1">
                  <c:v>En curso</c:v>
                </c:pt>
                <c:pt idx="2">
                  <c:v>Bloqueado</c:v>
                </c:pt>
                <c:pt idx="3">
                  <c:v>No iniciado</c:v>
                </c:pt>
              </c:strCache>
            </c:strRef>
          </c:cat>
          <c:val>
            <c:numRef>
              <c:f>Resumen!$B$9:$B$12</c:f>
              <c:numCache>
                <c:formatCode>General</c:formatCode>
                <c:ptCount val="4"/>
                <c:pt idx="0">
                  <c:v>0</c:v>
                </c:pt>
                <c:pt idx="1">
                  <c:v>1</c:v>
                </c:pt>
                <c:pt idx="2">
                  <c:v>0</c:v>
                </c:pt>
                <c:pt idx="3">
                  <c:v>9</c:v>
                </c:pt>
              </c:numCache>
            </c:numRef>
          </c:val>
        </c:ser>
        <c:gapWidth val="150"/>
        <c:overlap val="0"/>
        <c:axId val="21756458"/>
        <c:axId val="80714581"/>
      </c:barChart>
      <c:catAx>
        <c:axId val="2175645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0714581"/>
        <c:crosses val="autoZero"/>
        <c:auto val="1"/>
        <c:lblAlgn val="ctr"/>
        <c:lblOffset val="100"/>
        <c:noMultiLvlLbl val="0"/>
      </c:catAx>
      <c:valAx>
        <c:axId val="80714581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1756458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Proyectos por prioridad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bar"/>
        <c:grouping val="clustered"/>
        <c:varyColors val="0"/>
        <c:ser>
          <c:idx val="0"/>
          <c:order val="0"/>
          <c:tx>
            <c:strRef>
              <c:f>Resumen!E8</c:f>
              <c:strCache>
                <c:ptCount val="1"/>
                <c:pt idx="0">
                  <c:v>Cantidad de proyectos</c:v>
                </c:pt>
              </c:strCache>
            </c:strRef>
          </c:tx>
          <c:spPr>
            <a:solidFill>
              <a:srgbClr val="3d6fa6"/>
            </a:solidFill>
            <a:ln w="0">
              <a:noFill/>
            </a:ln>
          </c:spPr>
          <c:invertIfNegative val="0"/>
          <c:dPt>
            <c:idx val="0"/>
            <c:invertIfNegative val="0"/>
            <c:spPr>
              <a:solidFill>
                <a:srgbClr val="1b3f66"/>
              </a:solidFill>
              <a:ln w="0">
                <a:noFill/>
              </a:ln>
            </c:spPr>
          </c:dPt>
          <c:dPt>
            <c:idx val="1"/>
            <c:invertIfNegative val="0"/>
            <c:spPr>
              <a:solidFill>
                <a:srgbClr val="3d6fa6"/>
              </a:solidFill>
              <a:ln w="0">
                <a:noFill/>
              </a:ln>
            </c:spPr>
          </c:dPt>
          <c:dPt>
            <c:idx val="2"/>
            <c:invertIfNegative val="0"/>
            <c:spPr>
              <a:solidFill>
                <a:srgbClr val="7ea6d2"/>
              </a:solidFill>
              <a:ln w="0">
                <a:noFill/>
              </a:ln>
            </c:spPr>
          </c:dPt>
          <c:dPt>
            <c:idx val="3"/>
            <c:invertIfNegative val="0"/>
            <c:spPr>
              <a:solidFill>
                <a:srgbClr val="c7dbee"/>
              </a:solidFill>
              <a:ln w="0">
                <a:noFill/>
              </a:ln>
            </c:spPr>
          </c:dPt>
          <c:dLbls>
            <c:dLbl>
              <c:idx val="0"/>
              <c:txPr>
                <a:bodyPr wrap="none"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1"/>
              <c:txPr>
                <a:bodyPr wrap="none"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2"/>
              <c:txPr>
                <a:bodyPr wrap="none"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3"/>
              <c:txPr>
                <a:bodyPr wrap="none"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Resumen!$D$9:$D$12</c:f>
              <c:strCache>
                <c:ptCount val="4"/>
                <c:pt idx="0">
                  <c:v>Muy alta</c:v>
                </c:pt>
                <c:pt idx="1">
                  <c:v>Alta</c:v>
                </c:pt>
                <c:pt idx="2">
                  <c:v>Media</c:v>
                </c:pt>
                <c:pt idx="3">
                  <c:v>Baja</c:v>
                </c:pt>
              </c:strCache>
            </c:strRef>
          </c:cat>
          <c:val>
            <c:numRef>
              <c:f>Resumen!$E$9:$E$12</c:f>
              <c:numCache>
                <c:formatCode>General</c:formatCode>
                <c:ptCount val="4"/>
                <c:pt idx="0">
                  <c:v>0</c:v>
                </c:pt>
                <c:pt idx="1">
                  <c:v>3</c:v>
                </c:pt>
                <c:pt idx="2">
                  <c:v>0</c:v>
                </c:pt>
                <c:pt idx="3">
                  <c:v>1</c:v>
                </c:pt>
              </c:numCache>
            </c:numRef>
          </c:val>
        </c:ser>
        <c:gapWidth val="150"/>
        <c:overlap val="0"/>
        <c:axId val="47201558"/>
        <c:axId val="45384488"/>
      </c:barChart>
      <c:catAx>
        <c:axId val="4720155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5384488"/>
        <c:crosses val="autoZero"/>
        <c:auto val="1"/>
        <c:lblAlgn val="ctr"/>
        <c:lblOffset val="100"/>
        <c:noMultiLvlLbl val="0"/>
      </c:catAx>
      <c:valAx>
        <c:axId val="45384488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7201558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13</xdr:row>
      <xdr:rowOff>130680</xdr:rowOff>
    </xdr:from>
    <xdr:to>
      <xdr:col>4</xdr:col>
      <xdr:colOff>387720</xdr:colOff>
      <xdr:row>26</xdr:row>
      <xdr:rowOff>173880</xdr:rowOff>
    </xdr:to>
    <xdr:graphicFrame>
      <xdr:nvGraphicFramePr>
        <xdr:cNvPr id="0" name="Chart 1"/>
        <xdr:cNvGraphicFramePr/>
      </xdr:nvGraphicFramePr>
      <xdr:xfrm>
        <a:off x="0" y="2666880"/>
        <a:ext cx="5039640" cy="25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3</xdr:col>
      <xdr:colOff>0</xdr:colOff>
      <xdr:row>13</xdr:row>
      <xdr:rowOff>130680</xdr:rowOff>
    </xdr:from>
    <xdr:to>
      <xdr:col>7</xdr:col>
      <xdr:colOff>387720</xdr:colOff>
      <xdr:row>26</xdr:row>
      <xdr:rowOff>173880</xdr:rowOff>
    </xdr:to>
    <xdr:graphicFrame>
      <xdr:nvGraphicFramePr>
        <xdr:cNvPr id="1" name="Chart 2"/>
        <xdr:cNvGraphicFramePr/>
      </xdr:nvGraphicFramePr>
      <xdr:xfrm>
        <a:off x="3101400" y="2666880"/>
        <a:ext cx="5039640" cy="25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6" min="2" style="0" width="18"/>
  </cols>
  <sheetData>
    <row r="1" customFormat="false" ht="19.7" hidden="false" customHeight="false" outlineLevel="0" collapsed="false">
      <c r="A1" s="1" t="s">
        <v>0</v>
      </c>
      <c r="B1" s="1"/>
      <c r="C1" s="1"/>
      <c r="D1" s="1"/>
      <c r="E1" s="1"/>
      <c r="F1" s="1"/>
    </row>
    <row r="2" customFormat="false" ht="15" hidden="false" customHeight="false" outlineLevel="0" collapsed="false">
      <c r="A2" s="2" t="s">
        <v>1</v>
      </c>
      <c r="B2" s="2"/>
      <c r="C2" s="2"/>
      <c r="D2" s="2"/>
      <c r="E2" s="2"/>
      <c r="F2" s="2"/>
    </row>
    <row r="4" customFormat="false" ht="45.75" hidden="false" customHeight="true" outlineLevel="0" collapsed="false">
      <c r="A4" s="3" t="s">
        <v>2</v>
      </c>
      <c r="B4" s="4" t="s">
        <v>3</v>
      </c>
      <c r="C4" s="4"/>
      <c r="D4" s="4"/>
      <c r="E4" s="4"/>
      <c r="F4" s="4"/>
    </row>
    <row r="5" customFormat="false" ht="45.75" hidden="false" customHeight="true" outlineLevel="0" collapsed="false">
      <c r="A5" s="3" t="s">
        <v>4</v>
      </c>
      <c r="B5" s="4" t="s">
        <v>5</v>
      </c>
      <c r="C5" s="4"/>
      <c r="D5" s="4"/>
      <c r="E5" s="4"/>
      <c r="F5" s="4"/>
    </row>
    <row r="6" customFormat="false" ht="45.75" hidden="false" customHeight="true" outlineLevel="0" collapsed="false">
      <c r="A6" s="3" t="s">
        <v>6</v>
      </c>
      <c r="B6" s="4" t="s">
        <v>7</v>
      </c>
      <c r="C6" s="4"/>
      <c r="D6" s="4"/>
      <c r="E6" s="4"/>
      <c r="F6" s="4"/>
    </row>
    <row r="7" customFormat="false" ht="45.75" hidden="false" customHeight="true" outlineLevel="0" collapsed="false">
      <c r="A7" s="3" t="s">
        <v>8</v>
      </c>
      <c r="B7" s="4" t="s">
        <v>9</v>
      </c>
      <c r="C7" s="4"/>
      <c r="D7" s="4"/>
      <c r="E7" s="4"/>
      <c r="F7" s="4"/>
    </row>
    <row r="8" customFormat="false" ht="45.75" hidden="false" customHeight="true" outlineLevel="0" collapsed="false">
      <c r="A8" s="3" t="s">
        <v>10</v>
      </c>
      <c r="B8" s="4" t="s">
        <v>11</v>
      </c>
      <c r="C8" s="4"/>
      <c r="D8" s="4"/>
      <c r="E8" s="4"/>
      <c r="F8" s="4"/>
    </row>
    <row r="9" customFormat="false" ht="45.75" hidden="false" customHeight="true" outlineLevel="0" collapsed="false">
      <c r="A9" s="3" t="s">
        <v>12</v>
      </c>
      <c r="B9" s="4" t="s">
        <v>13</v>
      </c>
      <c r="C9" s="4"/>
      <c r="D9" s="4"/>
      <c r="E9" s="4"/>
      <c r="F9" s="4"/>
    </row>
    <row r="10" customFormat="false" ht="45.75" hidden="false" customHeight="true" outlineLevel="0" collapsed="false">
      <c r="A10" s="3" t="s">
        <v>14</v>
      </c>
      <c r="B10" s="4" t="s">
        <v>15</v>
      </c>
      <c r="C10" s="4"/>
      <c r="D10" s="4"/>
      <c r="E10" s="4"/>
      <c r="F10" s="4"/>
    </row>
    <row r="11" customFormat="false" ht="45.75" hidden="false" customHeight="true" outlineLevel="0" collapsed="false">
      <c r="A11" s="3" t="s">
        <v>16</v>
      </c>
      <c r="B11" s="4" t="s">
        <v>17</v>
      </c>
      <c r="C11" s="4"/>
      <c r="D11" s="4"/>
      <c r="E11" s="4"/>
      <c r="F11" s="4"/>
    </row>
  </sheetData>
  <mergeCells count="10">
    <mergeCell ref="A1:F1"/>
    <mergeCell ref="A2:F2"/>
    <mergeCell ref="B4:F4"/>
    <mergeCell ref="B5:F5"/>
    <mergeCell ref="B6:F6"/>
    <mergeCell ref="B7:F7"/>
    <mergeCell ref="B8:F8"/>
    <mergeCell ref="B9:F9"/>
    <mergeCell ref="B10:F10"/>
    <mergeCell ref="B11:F1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22"/>
    <col collapsed="false" customWidth="true" hidden="false" outlineLevel="0" max="3" min="3" style="0" width="46"/>
    <col collapsed="false" customWidth="true" hidden="false" outlineLevel="0" max="4" min="4" style="0" width="34"/>
    <col collapsed="false" customWidth="true" hidden="false" outlineLevel="0" max="5" min="5" style="0" width="16"/>
    <col collapsed="false" customWidth="true" hidden="false" outlineLevel="0" max="7" min="6" style="0" width="14"/>
    <col collapsed="false" customWidth="true" hidden="false" outlineLevel="0" max="8" min="8" style="0" width="16"/>
    <col collapsed="false" customWidth="true" hidden="false" outlineLevel="0" max="9" min="9" style="0" width="30"/>
  </cols>
  <sheetData>
    <row r="1" customFormat="false" ht="21.75" hidden="false" customHeight="true" outlineLevel="0" collapsed="false">
      <c r="A1" s="1" t="s">
        <v>18</v>
      </c>
      <c r="B1" s="1"/>
      <c r="C1" s="1"/>
      <c r="D1" s="1"/>
      <c r="E1" s="1"/>
      <c r="F1" s="1"/>
      <c r="G1" s="1"/>
      <c r="H1" s="1"/>
      <c r="I1" s="1"/>
    </row>
    <row r="2" customFormat="false" ht="15.75" hidden="false" customHeight="true" outlineLevel="0" collapsed="false">
      <c r="A2" s="2" t="s">
        <v>19</v>
      </c>
      <c r="B2" s="2"/>
      <c r="C2" s="2"/>
      <c r="D2" s="2"/>
      <c r="E2" s="2"/>
      <c r="F2" s="2"/>
      <c r="G2" s="2"/>
      <c r="H2" s="2"/>
      <c r="I2" s="2"/>
    </row>
    <row r="4" customFormat="false" ht="26.85" hidden="false" customHeight="false" outlineLevel="0" collapsed="false">
      <c r="A4" s="5" t="s">
        <v>20</v>
      </c>
      <c r="B4" s="5" t="s">
        <v>21</v>
      </c>
      <c r="C4" s="5" t="s">
        <v>22</v>
      </c>
      <c r="D4" s="5" t="s">
        <v>23</v>
      </c>
      <c r="E4" s="5" t="s">
        <v>24</v>
      </c>
      <c r="F4" s="5" t="s">
        <v>25</v>
      </c>
      <c r="G4" s="5" t="s">
        <v>26</v>
      </c>
      <c r="H4" s="5" t="s">
        <v>27</v>
      </c>
      <c r="I4" s="5" t="s">
        <v>28</v>
      </c>
    </row>
    <row r="5" customFormat="false" ht="61.5" hidden="false" customHeight="true" outlineLevel="0" collapsed="false">
      <c r="A5" s="4" t="n">
        <v>0</v>
      </c>
      <c r="B5" s="4" t="s">
        <v>29</v>
      </c>
      <c r="C5" s="4" t="s">
        <v>30</v>
      </c>
      <c r="D5" s="4" t="s">
        <v>31</v>
      </c>
      <c r="E5" s="6"/>
      <c r="F5" s="6" t="s">
        <v>32</v>
      </c>
      <c r="G5" s="6"/>
      <c r="H5" s="6"/>
      <c r="I5" s="6" t="s">
        <v>33</v>
      </c>
    </row>
    <row r="6" customFormat="false" ht="61.5" hidden="false" customHeight="true" outlineLevel="0" collapsed="false">
      <c r="A6" s="4" t="n">
        <v>1</v>
      </c>
      <c r="B6" s="4" t="s">
        <v>34</v>
      </c>
      <c r="C6" s="4" t="s">
        <v>35</v>
      </c>
      <c r="D6" s="4" t="s">
        <v>36</v>
      </c>
      <c r="E6" s="6"/>
      <c r="F6" s="6" t="s">
        <v>37</v>
      </c>
      <c r="G6" s="6"/>
      <c r="H6" s="6"/>
      <c r="I6" s="6"/>
    </row>
    <row r="7" customFormat="false" ht="61.5" hidden="false" customHeight="true" outlineLevel="0" collapsed="false">
      <c r="A7" s="4" t="n">
        <v>2</v>
      </c>
      <c r="B7" s="4" t="s">
        <v>38</v>
      </c>
      <c r="C7" s="4" t="s">
        <v>39</v>
      </c>
      <c r="D7" s="4" t="s">
        <v>40</v>
      </c>
      <c r="E7" s="6"/>
      <c r="F7" s="6" t="s">
        <v>37</v>
      </c>
      <c r="G7" s="6"/>
      <c r="H7" s="6"/>
      <c r="I7" s="6"/>
    </row>
    <row r="8" customFormat="false" ht="61.5" hidden="false" customHeight="true" outlineLevel="0" collapsed="false">
      <c r="A8" s="4" t="n">
        <v>3</v>
      </c>
      <c r="B8" s="4" t="s">
        <v>41</v>
      </c>
      <c r="C8" s="4" t="s">
        <v>42</v>
      </c>
      <c r="D8" s="4" t="s">
        <v>43</v>
      </c>
      <c r="E8" s="6"/>
      <c r="F8" s="6" t="s">
        <v>37</v>
      </c>
      <c r="G8" s="6"/>
      <c r="H8" s="6"/>
      <c r="I8" s="6"/>
    </row>
    <row r="9" customFormat="false" ht="61.5" hidden="false" customHeight="true" outlineLevel="0" collapsed="false">
      <c r="A9" s="4" t="n">
        <v>4</v>
      </c>
      <c r="B9" s="4" t="s">
        <v>44</v>
      </c>
      <c r="C9" s="4" t="s">
        <v>45</v>
      </c>
      <c r="D9" s="4" t="s">
        <v>46</v>
      </c>
      <c r="E9" s="6"/>
      <c r="F9" s="6" t="s">
        <v>37</v>
      </c>
      <c r="G9" s="6"/>
      <c r="H9" s="6"/>
      <c r="I9" s="6"/>
    </row>
    <row r="10" customFormat="false" ht="61.5" hidden="false" customHeight="true" outlineLevel="0" collapsed="false">
      <c r="A10" s="4" t="n">
        <v>5</v>
      </c>
      <c r="B10" s="4" t="s">
        <v>47</v>
      </c>
      <c r="C10" s="4" t="s">
        <v>48</v>
      </c>
      <c r="D10" s="4" t="s">
        <v>49</v>
      </c>
      <c r="E10" s="6"/>
      <c r="F10" s="6" t="s">
        <v>37</v>
      </c>
      <c r="G10" s="6"/>
      <c r="H10" s="6"/>
      <c r="I10" s="6"/>
    </row>
    <row r="11" customFormat="false" ht="61.5" hidden="false" customHeight="true" outlineLevel="0" collapsed="false">
      <c r="A11" s="4" t="n">
        <v>6</v>
      </c>
      <c r="B11" s="4" t="s">
        <v>50</v>
      </c>
      <c r="C11" s="4" t="s">
        <v>51</v>
      </c>
      <c r="D11" s="4" t="s">
        <v>52</v>
      </c>
      <c r="E11" s="6"/>
      <c r="F11" s="6" t="s">
        <v>37</v>
      </c>
      <c r="G11" s="6"/>
      <c r="H11" s="6"/>
      <c r="I11" s="6"/>
    </row>
    <row r="12" customFormat="false" ht="61.5" hidden="false" customHeight="true" outlineLevel="0" collapsed="false">
      <c r="A12" s="4" t="n">
        <v>7</v>
      </c>
      <c r="B12" s="4" t="s">
        <v>53</v>
      </c>
      <c r="C12" s="4" t="s">
        <v>54</v>
      </c>
      <c r="D12" s="4" t="s">
        <v>55</v>
      </c>
      <c r="E12" s="6"/>
      <c r="F12" s="6" t="s">
        <v>37</v>
      </c>
      <c r="G12" s="6"/>
      <c r="H12" s="6"/>
      <c r="I12" s="6"/>
    </row>
    <row r="13" customFormat="false" ht="61.5" hidden="false" customHeight="true" outlineLevel="0" collapsed="false">
      <c r="A13" s="4" t="n">
        <v>8</v>
      </c>
      <c r="B13" s="4" t="s">
        <v>56</v>
      </c>
      <c r="C13" s="4" t="s">
        <v>57</v>
      </c>
      <c r="D13" s="4" t="s">
        <v>58</v>
      </c>
      <c r="E13" s="6"/>
      <c r="F13" s="6" t="s">
        <v>37</v>
      </c>
      <c r="G13" s="6"/>
      <c r="H13" s="6"/>
      <c r="I13" s="6"/>
    </row>
    <row r="14" customFormat="false" ht="61.5" hidden="false" customHeight="true" outlineLevel="0" collapsed="false">
      <c r="A14" s="4" t="n">
        <v>9</v>
      </c>
      <c r="B14" s="4" t="s">
        <v>59</v>
      </c>
      <c r="C14" s="4" t="s">
        <v>60</v>
      </c>
      <c r="D14" s="4" t="s">
        <v>61</v>
      </c>
      <c r="E14" s="6"/>
      <c r="F14" s="6" t="s">
        <v>37</v>
      </c>
      <c r="G14" s="6"/>
      <c r="H14" s="6"/>
      <c r="I14" s="6"/>
    </row>
    <row r="16" customFormat="false" ht="15" hidden="false" customHeight="true" outlineLevel="0" collapsed="false">
      <c r="A16" s="7" t="s">
        <v>62</v>
      </c>
      <c r="B16" s="7"/>
      <c r="C16" s="7"/>
      <c r="D16" s="7"/>
      <c r="E16" s="7"/>
      <c r="F16" s="7"/>
      <c r="G16" s="7"/>
      <c r="H16" s="7"/>
      <c r="I16" s="7"/>
    </row>
  </sheetData>
  <mergeCells count="3">
    <mergeCell ref="A1:I1"/>
    <mergeCell ref="A2:I2"/>
    <mergeCell ref="A16:I16"/>
  </mergeCells>
  <dataValidations count="1">
    <dataValidation allowBlank="true" errorStyle="stop" operator="between" showDropDown="false" showErrorMessage="false" showInputMessage="false" sqref="F5:F14" type="list">
      <formula1>"No iniciado,En curso,Completado,Bloqueado"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18"/>
    <col collapsed="false" customWidth="true" hidden="false" outlineLevel="0" max="3" min="3" style="0" width="38"/>
    <col collapsed="false" customWidth="true" hidden="false" outlineLevel="0" max="4" min="4" style="0" width="20"/>
    <col collapsed="false" customWidth="true" hidden="false" outlineLevel="0" max="5" min="5" style="0" width="16"/>
    <col collapsed="false" customWidth="true" hidden="false" outlineLevel="0" max="6" min="6" style="0" width="14"/>
    <col collapsed="false" customWidth="true" hidden="false" outlineLevel="0" max="7" min="7" style="0" width="12"/>
    <col collapsed="false" customWidth="true" hidden="false" outlineLevel="0" max="8" min="8" style="0" width="22"/>
    <col collapsed="false" customWidth="true" hidden="false" outlineLevel="0" max="9" min="9" style="0" width="16"/>
    <col collapsed="false" customWidth="true" hidden="false" outlineLevel="0" max="10" min="10" style="0" width="14"/>
    <col collapsed="false" customWidth="true" hidden="false" outlineLevel="0" max="12" min="11" style="0" width="16"/>
    <col collapsed="false" customWidth="true" hidden="false" outlineLevel="0" max="13" min="13" style="0" width="30"/>
    <col collapsed="false" customWidth="true" hidden="false" outlineLevel="0" max="14" min="14" style="0" width="3"/>
    <col collapsed="false" customWidth="true" hidden="false" outlineLevel="0" max="15" min="15" style="0" width="16"/>
    <col collapsed="false" customWidth="true" hidden="false" outlineLevel="0" max="18" min="16" style="0" width="13"/>
  </cols>
  <sheetData>
    <row r="1" customFormat="false" ht="21.75" hidden="false" customHeight="true" outlineLevel="0" collapsed="false">
      <c r="A1" s="1" t="s">
        <v>63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</row>
    <row r="2" customFormat="false" ht="15.75" hidden="false" customHeight="true" outlineLevel="0" collapsed="false">
      <c r="A2" s="2" t="s">
        <v>64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</row>
    <row r="4" customFormat="false" ht="39.55" hidden="false" customHeight="false" outlineLevel="0" collapsed="false">
      <c r="A4" s="5" t="s">
        <v>65</v>
      </c>
      <c r="B4" s="5" t="s">
        <v>66</v>
      </c>
      <c r="C4" s="5" t="s">
        <v>67</v>
      </c>
      <c r="D4" s="5" t="s">
        <v>68</v>
      </c>
      <c r="E4" s="5" t="s">
        <v>69</v>
      </c>
      <c r="F4" s="5" t="s">
        <v>70</v>
      </c>
      <c r="G4" s="5" t="s">
        <v>71</v>
      </c>
      <c r="H4" s="5" t="s">
        <v>72</v>
      </c>
      <c r="I4" s="5" t="s">
        <v>24</v>
      </c>
      <c r="J4" s="5" t="s">
        <v>25</v>
      </c>
      <c r="K4" s="5" t="s">
        <v>73</v>
      </c>
      <c r="L4" s="5" t="s">
        <v>74</v>
      </c>
      <c r="M4" s="5" t="s">
        <v>28</v>
      </c>
      <c r="O4" s="8" t="s">
        <v>75</v>
      </c>
      <c r="P4" s="8"/>
      <c r="Q4" s="8"/>
      <c r="R4" s="8"/>
    </row>
    <row r="5" customFormat="false" ht="48" hidden="false" customHeight="true" outlineLevel="0" collapsed="false">
      <c r="A5" s="9" t="s">
        <v>76</v>
      </c>
      <c r="B5" s="9" t="s">
        <v>77</v>
      </c>
      <c r="C5" s="9" t="s">
        <v>78</v>
      </c>
      <c r="D5" s="9" t="s">
        <v>79</v>
      </c>
      <c r="E5" s="9" t="s">
        <v>80</v>
      </c>
      <c r="F5" s="9" t="s">
        <v>81</v>
      </c>
      <c r="G5" s="10" t="str">
        <f aca="false">IFERROR(INDEX($P$6:$R$8,MATCH($E5,$O$6:$O$8,0),MATCH($F5,$P$5:$R$5,0)),"")</f>
        <v>Alta</v>
      </c>
      <c r="H5" s="9" t="s">
        <v>82</v>
      </c>
      <c r="I5" s="9"/>
      <c r="J5" s="9" t="s">
        <v>32</v>
      </c>
      <c r="K5" s="9"/>
      <c r="L5" s="9"/>
      <c r="M5" s="9" t="s">
        <v>83</v>
      </c>
      <c r="O5" s="5" t="s">
        <v>84</v>
      </c>
      <c r="P5" s="5" t="s">
        <v>85</v>
      </c>
      <c r="Q5" s="5" t="s">
        <v>86</v>
      </c>
      <c r="R5" s="5" t="s">
        <v>81</v>
      </c>
    </row>
    <row r="6" customFormat="false" ht="48" hidden="false" customHeight="true" outlineLevel="0" collapsed="false">
      <c r="A6" s="9" t="s">
        <v>87</v>
      </c>
      <c r="B6" s="9" t="s">
        <v>88</v>
      </c>
      <c r="C6" s="9" t="s">
        <v>89</v>
      </c>
      <c r="D6" s="9" t="s">
        <v>90</v>
      </c>
      <c r="E6" s="9" t="s">
        <v>91</v>
      </c>
      <c r="F6" s="9" t="s">
        <v>85</v>
      </c>
      <c r="G6" s="10" t="str">
        <f aca="false">IFERROR(INDEX($P$6:$R$8,MATCH($E6,$O$6:$O$8,0),MATCH($F6,$P$5:$R$5,0)),"")</f>
        <v>Alta</v>
      </c>
      <c r="H6" s="9" t="s">
        <v>92</v>
      </c>
      <c r="I6" s="9"/>
      <c r="J6" s="9" t="s">
        <v>37</v>
      </c>
      <c r="K6" s="9"/>
      <c r="L6" s="9"/>
      <c r="M6" s="9"/>
      <c r="O6" s="11" t="s">
        <v>80</v>
      </c>
      <c r="P6" s="12" t="s">
        <v>93</v>
      </c>
      <c r="Q6" s="12" t="s">
        <v>94</v>
      </c>
      <c r="R6" s="12" t="s">
        <v>94</v>
      </c>
    </row>
    <row r="7" customFormat="false" ht="48" hidden="false" customHeight="true" outlineLevel="0" collapsed="false">
      <c r="A7" s="9" t="s">
        <v>95</v>
      </c>
      <c r="B7" s="9" t="s">
        <v>96</v>
      </c>
      <c r="C7" s="9" t="s">
        <v>97</v>
      </c>
      <c r="D7" s="9" t="s">
        <v>98</v>
      </c>
      <c r="E7" s="9" t="s">
        <v>80</v>
      </c>
      <c r="F7" s="9" t="s">
        <v>86</v>
      </c>
      <c r="G7" s="10" t="str">
        <f aca="false">IFERROR(INDEX($P$6:$R$8,MATCH($E7,$O$6:$O$8,0),MATCH($F7,$P$5:$R$5,0)),"")</f>
        <v>Alta</v>
      </c>
      <c r="H7" s="9" t="s">
        <v>99</v>
      </c>
      <c r="I7" s="9"/>
      <c r="J7" s="9" t="s">
        <v>32</v>
      </c>
      <c r="K7" s="9"/>
      <c r="L7" s="9"/>
      <c r="M7" s="9" t="s">
        <v>100</v>
      </c>
      <c r="O7" s="11" t="s">
        <v>91</v>
      </c>
      <c r="P7" s="12" t="s">
        <v>94</v>
      </c>
      <c r="Q7" s="12" t="s">
        <v>101</v>
      </c>
      <c r="R7" s="12" t="s">
        <v>101</v>
      </c>
    </row>
    <row r="8" customFormat="false" ht="48" hidden="false" customHeight="true" outlineLevel="0" collapsed="false">
      <c r="A8" s="9" t="s">
        <v>102</v>
      </c>
      <c r="B8" s="9" t="s">
        <v>103</v>
      </c>
      <c r="C8" s="9" t="s">
        <v>104</v>
      </c>
      <c r="D8" s="9" t="s">
        <v>105</v>
      </c>
      <c r="E8" s="9" t="s">
        <v>106</v>
      </c>
      <c r="F8" s="9" t="s">
        <v>86</v>
      </c>
      <c r="G8" s="10" t="str">
        <f aca="false">IFERROR(INDEX($P$6:$R$8,MATCH($E8,$O$6:$O$8,0),MATCH($F8,$P$5:$R$5,0)),"")</f>
        <v>Baja</v>
      </c>
      <c r="H8" s="9" t="s">
        <v>99</v>
      </c>
      <c r="I8" s="9"/>
      <c r="J8" s="9" t="s">
        <v>107</v>
      </c>
      <c r="K8" s="9"/>
      <c r="L8" s="9"/>
      <c r="M8" s="9" t="s">
        <v>108</v>
      </c>
      <c r="O8" s="11" t="s">
        <v>106</v>
      </c>
      <c r="P8" s="12" t="s">
        <v>101</v>
      </c>
      <c r="Q8" s="12" t="s">
        <v>109</v>
      </c>
      <c r="R8" s="12" t="s">
        <v>109</v>
      </c>
    </row>
    <row r="9" customFormat="false" ht="48" hidden="false" customHeight="true" outlineLevel="0" collapsed="false">
      <c r="A9" s="6"/>
      <c r="B9" s="6"/>
      <c r="C9" s="6"/>
      <c r="D9" s="6"/>
      <c r="E9" s="6"/>
      <c r="F9" s="6"/>
      <c r="G9" s="13" t="str">
        <f aca="false">IFERROR(INDEX($P$6:$R$8,MATCH($E9,$O$6:$O$8,0),MATCH($F9,$P$5:$R$5,0)),"")</f>
        <v/>
      </c>
      <c r="H9" s="4"/>
      <c r="I9" s="6"/>
      <c r="J9" s="6"/>
      <c r="K9" s="6"/>
      <c r="L9" s="6"/>
      <c r="M9" s="6"/>
    </row>
    <row r="10" customFormat="false" ht="48" hidden="false" customHeight="true" outlineLevel="0" collapsed="false">
      <c r="A10" s="6"/>
      <c r="B10" s="6"/>
      <c r="C10" s="6"/>
      <c r="D10" s="6"/>
      <c r="E10" s="6"/>
      <c r="F10" s="6"/>
      <c r="G10" s="13" t="str">
        <f aca="false">IFERROR(INDEX($P$6:$R$8,MATCH($E10,$O$6:$O$8,0),MATCH($F10,$P$5:$R$5,0)),"")</f>
        <v/>
      </c>
      <c r="H10" s="4"/>
      <c r="I10" s="6"/>
      <c r="J10" s="6"/>
      <c r="K10" s="6"/>
      <c r="L10" s="6"/>
      <c r="M10" s="6"/>
      <c r="O10" s="7" t="s">
        <v>110</v>
      </c>
      <c r="P10" s="7"/>
      <c r="Q10" s="7"/>
      <c r="R10" s="7"/>
    </row>
    <row r="11" customFormat="false" ht="15" hidden="false" customHeight="false" outlineLevel="0" collapsed="false">
      <c r="O11" s="7"/>
      <c r="P11" s="7"/>
      <c r="Q11" s="7"/>
      <c r="R11" s="7"/>
    </row>
    <row r="12" customFormat="false" ht="30" hidden="false" customHeight="true" outlineLevel="0" collapsed="false">
      <c r="A12" s="7" t="s">
        <v>111</v>
      </c>
      <c r="B12" s="7"/>
      <c r="C12" s="7"/>
      <c r="D12" s="7"/>
      <c r="E12" s="7"/>
      <c r="F12" s="7"/>
      <c r="G12" s="7"/>
      <c r="H12" s="7"/>
      <c r="I12" s="7"/>
      <c r="J12" s="7"/>
      <c r="K12" s="7"/>
      <c r="L12" s="7"/>
      <c r="M12" s="7"/>
      <c r="O12" s="7"/>
      <c r="P12" s="7"/>
      <c r="Q12" s="7"/>
      <c r="R12" s="7"/>
    </row>
    <row r="13" customFormat="false" ht="15" hidden="false" customHeight="false" outlineLevel="0" collapsed="false">
      <c r="O13" s="7"/>
      <c r="P13" s="7"/>
      <c r="Q13" s="7"/>
      <c r="R13" s="7"/>
    </row>
  </sheetData>
  <mergeCells count="5">
    <mergeCell ref="A1:M1"/>
    <mergeCell ref="A2:M2"/>
    <mergeCell ref="O4:R4"/>
    <mergeCell ref="O10:R13"/>
    <mergeCell ref="A12:M12"/>
  </mergeCells>
  <dataValidations count="4">
    <dataValidation allowBlank="true" errorStyle="stop" operator="between" showDropDown="false" showErrorMessage="false" showInputMessage="false" sqref="D5:D10" type="list">
      <formula1>"Urgente ahora,Tiene fecha límite real,Puede esperar y priorizarse,Es mantenimiento o mejora interna"</formula1>
      <formula2>0</formula2>
    </dataValidation>
    <dataValidation allowBlank="true" errorStyle="stop" operator="between" showDropDown="false" showErrorMessage="false" showInputMessage="false" sqref="E5:E10" type="list">
      <formula1>"Alto,Medio,Bajo"</formula1>
      <formula2>0</formula2>
    </dataValidation>
    <dataValidation allowBlank="true" errorStyle="stop" operator="between" showDropDown="false" showErrorMessage="false" showInputMessage="false" sqref="F5:F10" type="list">
      <formula1>"Pequeño,Mediano,Grande"</formula1>
      <formula2>0</formula2>
    </dataValidation>
    <dataValidation allowBlank="true" errorStyle="stop" operator="between" showDropDown="false" showErrorMessage="false" showInputMessage="false" sqref="J5:J10" type="list">
      <formula1>"No iniciado,En curso,Completado,Bloqueado"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18"/>
    <col collapsed="false" customWidth="true" hidden="false" outlineLevel="0" max="3" min="3" style="0" width="4"/>
    <col collapsed="false" customWidth="true" hidden="false" outlineLevel="0" max="4" min="4" style="0" width="22"/>
    <col collapsed="false" customWidth="true" hidden="false" outlineLevel="0" max="5" min="5" style="0" width="20"/>
    <col collapsed="false" customWidth="true" hidden="false" outlineLevel="0" max="6" min="6" style="0" width="4"/>
    <col collapsed="false" customWidth="true" hidden="false" outlineLevel="0" max="7" min="7" style="0" width="20"/>
    <col collapsed="false" customWidth="true" hidden="false" outlineLevel="0" max="8" min="8" style="0" width="12"/>
  </cols>
  <sheetData>
    <row r="1" customFormat="false" ht="19.7" hidden="false" customHeight="false" outlineLevel="0" collapsed="false">
      <c r="A1" s="1" t="s">
        <v>112</v>
      </c>
      <c r="B1" s="1"/>
      <c r="C1" s="1"/>
      <c r="D1" s="1"/>
      <c r="E1" s="1"/>
      <c r="F1" s="1"/>
      <c r="G1" s="1"/>
      <c r="H1" s="1"/>
    </row>
    <row r="2" customFormat="false" ht="15" hidden="false" customHeight="false" outlineLevel="0" collapsed="false">
      <c r="A2" s="2" t="s">
        <v>113</v>
      </c>
      <c r="B2" s="2"/>
      <c r="C2" s="2"/>
      <c r="D2" s="2"/>
      <c r="E2" s="2"/>
      <c r="F2" s="2"/>
      <c r="G2" s="2"/>
      <c r="H2" s="2"/>
    </row>
    <row r="4" customFormat="false" ht="15" hidden="false" customHeight="false" outlineLevel="0" collapsed="false">
      <c r="A4" s="8" t="s">
        <v>114</v>
      </c>
      <c r="B4" s="8"/>
      <c r="D4" s="8" t="s">
        <v>115</v>
      </c>
      <c r="E4" s="8"/>
    </row>
    <row r="5" customFormat="false" ht="15" hidden="false" customHeight="false" outlineLevel="0" collapsed="false">
      <c r="A5" s="14" t="n">
        <f aca="false">COUNTIF('Hoja de ruta'!F5:F14,"Completado")/COUNTA('Hoja de ruta'!B5:B14)</f>
        <v>0</v>
      </c>
      <c r="B5" s="14"/>
      <c r="D5" s="15" t="n">
        <f aca="false">COUNTA('Seguimiento de proyectos'!A5:A10)</f>
        <v>4</v>
      </c>
      <c r="E5" s="15"/>
    </row>
    <row r="6" customFormat="false" ht="15" hidden="false" customHeight="false" outlineLevel="0" collapsed="false">
      <c r="A6" s="14"/>
      <c r="B6" s="14"/>
      <c r="D6" s="15"/>
      <c r="E6" s="15"/>
    </row>
    <row r="8" customFormat="false" ht="15" hidden="false" customHeight="false" outlineLevel="0" collapsed="false">
      <c r="A8" s="16" t="s">
        <v>116</v>
      </c>
      <c r="B8" s="16" t="s">
        <v>117</v>
      </c>
      <c r="D8" s="16" t="s">
        <v>71</v>
      </c>
      <c r="E8" s="16" t="s">
        <v>118</v>
      </c>
      <c r="G8" s="16" t="s">
        <v>119</v>
      </c>
      <c r="H8" s="16" t="s">
        <v>120</v>
      </c>
    </row>
    <row r="9" customFormat="false" ht="15" hidden="false" customHeight="false" outlineLevel="0" collapsed="false">
      <c r="A9" s="17" t="s">
        <v>121</v>
      </c>
      <c r="B9" s="18" t="n">
        <f aca="false">COUNTIF('Hoja de ruta'!F5:F14,"Completado")</f>
        <v>0</v>
      </c>
      <c r="D9" s="17" t="s">
        <v>93</v>
      </c>
      <c r="E9" s="18" t="n">
        <f aca="false">COUNTIF('Seguimiento de proyectos'!$G$5:$G$10,"Muy alta")</f>
        <v>0</v>
      </c>
      <c r="G9" s="19" t="s">
        <v>121</v>
      </c>
      <c r="H9" s="20" t="n">
        <f aca="false">COUNTIF('Seguimiento de proyectos'!$J$5:$J$10,"Completado")</f>
        <v>0</v>
      </c>
    </row>
    <row r="10" customFormat="false" ht="15" hidden="false" customHeight="false" outlineLevel="0" collapsed="false">
      <c r="A10" s="17" t="s">
        <v>32</v>
      </c>
      <c r="B10" s="18" t="n">
        <f aca="false">COUNTIF('Hoja de ruta'!F5:F14,"En curso")</f>
        <v>1</v>
      </c>
      <c r="D10" s="17" t="s">
        <v>94</v>
      </c>
      <c r="E10" s="18" t="n">
        <f aca="false">COUNTIF('Seguimiento de proyectos'!$G$5:$G$10,"Alta")</f>
        <v>3</v>
      </c>
      <c r="G10" s="19" t="s">
        <v>32</v>
      </c>
      <c r="H10" s="20" t="n">
        <f aca="false">COUNTIF('Seguimiento de proyectos'!$J$5:$J$10,"En curso")</f>
        <v>2</v>
      </c>
    </row>
    <row r="11" customFormat="false" ht="15" hidden="false" customHeight="false" outlineLevel="0" collapsed="false">
      <c r="A11" s="17" t="s">
        <v>107</v>
      </c>
      <c r="B11" s="18" t="n">
        <f aca="false">COUNTIF('Hoja de ruta'!F5:F14,"Bloqueado")</f>
        <v>0</v>
      </c>
      <c r="D11" s="17" t="s">
        <v>101</v>
      </c>
      <c r="E11" s="18" t="n">
        <f aca="false">COUNTIF('Seguimiento de proyectos'!$G$5:$G$10,"Media")</f>
        <v>0</v>
      </c>
      <c r="G11" s="19" t="s">
        <v>107</v>
      </c>
      <c r="H11" s="20" t="n">
        <f aca="false">COUNTIF('Seguimiento de proyectos'!$J$5:$J$10,"Bloqueado")</f>
        <v>1</v>
      </c>
    </row>
    <row r="12" customFormat="false" ht="15" hidden="false" customHeight="false" outlineLevel="0" collapsed="false">
      <c r="A12" s="17" t="s">
        <v>37</v>
      </c>
      <c r="B12" s="18" t="n">
        <f aca="false">COUNTIF('Hoja de ruta'!F5:F14,"No iniciado")</f>
        <v>9</v>
      </c>
      <c r="D12" s="17" t="s">
        <v>109</v>
      </c>
      <c r="E12" s="18" t="n">
        <f aca="false">COUNTIF('Seguimiento de proyectos'!$G$5:$G$10,"Baja")</f>
        <v>1</v>
      </c>
      <c r="G12" s="19" t="s">
        <v>37</v>
      </c>
      <c r="H12" s="20" t="n">
        <f aca="false">COUNTIF('Seguimiento de proyectos'!$J$5:$J$10,"No iniciado")</f>
        <v>1</v>
      </c>
    </row>
  </sheetData>
  <mergeCells count="6">
    <mergeCell ref="A1:H1"/>
    <mergeCell ref="A2:H2"/>
    <mergeCell ref="A4:B4"/>
    <mergeCell ref="D4:E4"/>
    <mergeCell ref="A5:B6"/>
    <mergeCell ref="D5:E6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2026-08-18T16:46:38Z</dcterms:created>
  <dc:creator>openpyxl</dc:creator>
  <dc:description/>
  <dc:language>en-US</dc:language>
  <cp:lastModifiedBy/>
  <dcterms:modified xsi:type="dcterms:W3CDTF">2026-08-18T16:47:35Z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