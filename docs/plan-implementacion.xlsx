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ómo usar" sheetId="1" state="visible" r:id="rId3"/>
    <sheet name="Hoja de ruta" sheetId="2" state="visible" r:id="rId4"/>
    <sheet name="Seguimiento de proyectos" sheetId="3" state="visible" r:id="rId5"/>
    <sheet name="Resumen" sheetId="4" state="visible" r:id="rId6"/>
    <sheet name="Roles y gobierno"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<sst xmlns="http://schemas.openxmlformats.org/spreadsheetml/2006/main" count="251" uniqueCount="188">
  <si>
    <t xml:space="preserve">Plantilla de implementación por prioridades — cómo usarla</t>
  </si>
  <si>
    <t xml:space="preserve">Pensada para que cualquier equipo la tome y la adapte, sin depender de una herramienta específica.</t>
  </si>
  <si>
    <t xml:space="preserve">Qué es</t>
  </si>
  <si>
    <t xml:space="preserve">Una plantilla de dos partes: una hoja de ruta general (10 pasos, de diagnóstico a piloto) y una hoja de seguimiento de proyectos — la parte más densa, porque es donde entra cada solicitud real del negocio y se decide qué se hace primero.</t>
  </si>
  <si>
    <t xml:space="preserve">Para quién</t>
  </si>
  <si>
    <t xml:space="preserve">Dueños de negocio, líderes de equipo y cualquier persona que necesite ver en un solo lugar qué se está trabajando, por qué, y en qué orden — sin lenguaje técnico.</t>
  </si>
  <si>
    <t xml:space="preserve">Hoja 'Hoja de ruta'</t>
  </si>
  <si>
    <t xml:space="preserve">Los 10 pasos generales de instalar el modelo de trabajo. Ya tiene un ejemplo real en el paso 0 (resaltado en azul claro) para mostrar cómo se ve un paso avanzando.</t>
  </si>
  <si>
    <t xml:space="preserve">Hoja 'Seguimiento de proyectos'</t>
  </si>
  <si>
    <t xml:space="preserve">El registro vivo de cada proyecto o solicitud: de dónde viene, qué tan urgente es, qué tan grande es, y una prioridad que se calcula sola combinando esas dos cosas — no a criterio de quién pide más fuerte. Además responde tres preguntas de negocio para cada proyecto: en qué estado va (columna 'Estado': incluye 'Cancelado' para lo que se descarta sin completarse), en qué momento del ciclo está (columna 'Fase de desarrollo'), y para cuándo se espera. Cuatro columnas adicionales — 'Fecha real de inicio de desarrollo', 'Fecha real de cierre', 'Responsable de desarrollo' y 'Responsable de QA' — alimentan los indicadores automáticos de la hoja 'Resumen'. Tiene 5 filas de ejemplo (resaltadas en azul claro) y 2 filas vacías listas para usar.</t>
  </si>
  <si>
    <t xml:space="preserve">Hoja 'Resumen'</t>
  </si>
  <si>
    <t xml:space="preserve">Un panel visual que se actualiza solo a partir de las otras dos hojas — no se edita directamente. Además del avance general, calcula los indicadores de la sección 9 del framework KPS: Lead time, Cycle time, Eficiencia de flujo, % de entrega a tiempo, Índice de concentración y % de cumplimiento de WIP por persona.</t>
  </si>
  <si>
    <t xml:space="preserve">Hoja 'Roles y gobierno'</t>
  </si>
  <si>
    <t xml:space="preserve">El registro de quién tiene cada rol de gobierno del framework (sección 5) y quién es su respaldo nombrado — para que ninguna regla dependa de una sola persona. Trae los 7 roles del framework ya listados, con una fila de 'Líder de Flujo de Valor' por cada flujo de valor (usa los mismos ejemplos de la hoja 'Seguimiento de proyectos'). Completa 'Titular' y 'Respaldo' con los nombres reales de tu equipo.</t>
  </si>
  <si>
    <t xml:space="preserve">Cómo se calcula la prioridad</t>
  </si>
  <si>
    <t xml:space="preserve">Se combinan dos preguntas simples: '¿qué tan grave es si esto se atrasa una semana?' (impacto) y '¿qué tan grande es el esfuerzo?' (tamaño). La combinación da la prioridad automáticamente, según la matriz que está al lado de la tabla en la hoja 'Seguimiento de proyectos' (columnas T a W). Impacto alto + esfuerzo pequeño siempre gana — es la forma más simple de evitar que lo urgente-pero-fácil se quede esperando detrás de algo grande y menos importante.</t>
  </si>
  <si>
    <t xml:space="preserve">Indicadores automáticos (sección 9 del framework)</t>
  </si>
  <si>
    <t xml:space="preserve">Lead time y Cycle time se calculan solos a partir de 'Fecha estimada de inicio', 'Fecha real de inicio de desarrollo' y 'Fecha real de cierre' de cada proyecto Completado. El Índice de concentración y el % de cumplimiento de WIP salen de contar, por persona, cuántos ítems tiene 'En curso' sumando la columna 'Responsable de desarrollo' y la columna 'Responsable de QA' — escribe el nombre de cada persona del equipo (desarrollo y QA) en la tabla de la hoja 'Resumen' para que el cálculo funcione.</t>
  </si>
  <si>
    <t xml:space="preserve">Qué editar</t>
  </si>
  <si>
    <t xml:space="preserve">Las celdas en amarillo son las que se completan para cada paso, proyecto o rol nuevo. Las celdas en azul claro son ejemplos — bórralos o reemplázalos cuando empieces a usar la plantilla con datos reales. No toques las columnas de prioridad, la matriz, ni la hoja 'Resumen' — se calculan solas, excepto la celda amarilla de 'Tope de WIP por persona' y la lista de nombres de personas, que sí son editables.</t>
  </si>
  <si>
    <t xml:space="preserve">Sin nombrar herramientas</t>
  </si>
  <si>
    <t xml:space="preserve">Esta plantilla no asume ningún software de gestión de trabajo en particular — es una forma de pensar y ordenar decisiones, no un sistema. Se puede usar en esta hoja de cálculo o trasladar la misma lógica a cualquier otra herramienta que el equipo ya use.</t>
  </si>
  <si>
    <t xml:space="preserve">Plan de implementación — de un diagnóstico inicial a un modelo de trabajo por prioridades</t>
  </si>
  <si>
    <t xml:space="preserve">Cada fila es un paso. Completa Responsable, Estado, Fechas y Notas a medida que avanzas — cualquier persona del equipo puede tomarlo desde donde quedó.</t>
  </si>
  <si>
    <t xml:space="preserve">Fase</t>
  </si>
  <si>
    <t xml:space="preserve">Paso</t>
  </si>
  <si>
    <t xml:space="preserve">Qué se hace</t>
  </si>
  <si>
    <t xml:space="preserve">Por qué importa para el negocio</t>
  </si>
  <si>
    <t xml:space="preserve">Responsable</t>
  </si>
  <si>
    <t xml:space="preserve">Estado</t>
  </si>
  <si>
    <t xml:space="preserve">Fecha objetivo</t>
  </si>
  <si>
    <t xml:space="preserve">Fecha real de cierre</t>
  </si>
  <si>
    <t xml:space="preserve">Notas</t>
  </si>
  <si>
    <t xml:space="preserve">Diagnóstico inicial (línea base)</t>
  </si>
  <si>
    <t xml:space="preserve">Entender con datos reales cómo está el equipo hoy: cuánto trabajo tiene cada persona, qué tan respetados están los límites ya acordados, qué iniciativas están realmente avanzando y cuáles llevan tiempo detenidas sin que nadie lo haya decidido, y si el control de calidad tiene capacidad real o está saturado.</t>
  </si>
  <si>
    <t xml:space="preserve">Sin esto, cualquier decisión que se tome después es una suposición, no un hecho.</t>
  </si>
  <si>
    <t xml:space="preserve">En curso</t>
  </si>
  <si>
    <t xml:space="preserve">El diagnóstico de la parte de seguridad e infraestructura ya se completó.</t>
  </si>
  <si>
    <t xml:space="preserve">Lenguaje común</t>
  </si>
  <si>
    <t xml:space="preserve">Acordar en una sola página cómo le va a llamar todo el equipo a cada pieza del nuevo modelo de trabajo, para que nadie interprete distinto lo mismo.</t>
  </si>
  <si>
    <t xml:space="preserve">Evita malentendidos y resistencia al cambio desde el principio.</t>
  </si>
  <si>
    <t xml:space="preserve">No iniciado</t>
  </si>
  <si>
    <t xml:space="preserve">Delimitar el alcance</t>
  </si>
  <si>
    <t xml:space="preserve">Definir por escrito qué NO se va a implementar todavía, para no sobrecargar al equipo con procesos que no necesita a su tamaño actual.</t>
  </si>
  <si>
    <t xml:space="preserve">Evita burocracia innecesaria y protege el tiempo del equipo.</t>
  </si>
  <si>
    <t xml:space="preserve">Priorización objetiva</t>
  </si>
  <si>
    <t xml:space="preserve">Reemplazar la discusión informal de "qué es más urgente" por una forma de calcular la prioridad con números, basada en el impacto para el negocio y el esfuerzo que toma. (Ver el detalle aplicado a proyectos en la hoja 'Seguimiento de proyectos'.)</t>
  </si>
  <si>
    <t xml:space="preserve">Las decisiones de prioridad quedan sustentadas en datos, no en quién insiste más fuerte.</t>
  </si>
  <si>
    <t xml:space="preserve">Agrupar por valor de negocio</t>
  </si>
  <si>
    <t xml:space="preserve">Organizar las iniciativas actuales según el valor que le entregan al negocio, no según el nombre del proyecto o quién lo pidió.</t>
  </si>
  <si>
    <t xml:space="preserve">Permite mover personas entre iniciativas relacionadas sin que se sienta como abandonar algo.</t>
  </si>
  <si>
    <t xml:space="preserve">Responsables y respaldos</t>
  </si>
  <si>
    <t xml:space="preserve">Nombrar quién toma cada decisión clave del nuevo modelo, y quién la respalda si esa persona no está disponible.</t>
  </si>
  <si>
    <t xml:space="preserve">Evita que las reglas se rompan bajo presión o que todo dependa de una sola persona.</t>
  </si>
  <si>
    <t xml:space="preserve">Sesiones cortas de ajuste</t>
  </si>
  <si>
    <t xml:space="preserve">Cambiar las reuniones largas de planificación por una sesión corta cada trimestre para ajustar el modelo con datos reales.</t>
  </si>
  <si>
    <t xml:space="preserve">Mantiene la disciplina del proceso sin consumir tiempo excesivo del equipo.</t>
  </si>
  <si>
    <t xml:space="preserve">Mecanismos de control</t>
  </si>
  <si>
    <t xml:space="preserve">Activar reglas concretas: quién atiende lo urgente cada semana (rotativo, no siempre la misma persona), qué tan costosa es cada interrupción, y qué pasa si un pendiente técnico se deja acumular sin atender.</t>
  </si>
  <si>
    <t xml:space="preserve">Hace visible el costo real de lo urgente y evita que el conocimiento clave se concentre en pocas personas.</t>
  </si>
  <si>
    <t xml:space="preserve">Piloto controlado (4 a 6 semanas)</t>
  </si>
  <si>
    <t xml:space="preserve">Aplicar todo lo anterior en una parte acotada del equipo, con una forma de medir el antes y el después ya acordada desde el inicio. Usa la hoja 'Seguimiento de proyectos' para registrar cada solicitud real que entre durante el piloto.</t>
  </si>
  <si>
    <t xml:space="preserve">Reduce el riesgo de imponer el cambio a todo el equipo de una sola vez.</t>
  </si>
  <si>
    <t xml:space="preserve">Medir y decidir</t>
  </si>
  <si>
    <t xml:space="preserve">Revisar los resultados del piloto contra lo que se acordó como éxito, y decidir si se expande, se ajusta, o se documenta como aprendizaje.</t>
  </si>
  <si>
    <t xml:space="preserve">Cierra el ciclo con evidencia real, no con una opinión.</t>
  </si>
  <si>
    <t xml:space="preserve">Cómo usar esta hoja: completa las columnas resaltadas (Responsable, Estado, Fechas, Notas) para cada paso. El paso 0 ya tiene un ejemplo real de cómo se ve un paso "En curso".</t>
  </si>
  <si>
    <t xml:space="preserve">Seguimiento de proyectos — de cada solicitud a una prioridad clara</t>
  </si>
  <si>
    <t xml:space="preserve">Un renglón por proyecto o solicitud. La columna 'Prioridad' se calcula sola (matriz a la derecha) — no la edites a mano.</t>
  </si>
  <si>
    <t xml:space="preserve">Proyecto</t>
  </si>
  <si>
    <t xml:space="preserve">Área o persona solicitante</t>
  </si>
  <si>
    <t xml:space="preserve">Qué problema de negocio resuelve</t>
  </si>
  <si>
    <t xml:space="preserve">Tipo de solicitud</t>
  </si>
  <si>
    <t xml:space="preserve">Impacto si se retrasa una semana</t>
  </si>
  <si>
    <t xml:space="preserve">Tamaño del esfuerzo</t>
  </si>
  <si>
    <t xml:space="preserve">Prioridad</t>
  </si>
  <si>
    <t xml:space="preserve">Línea de trabajo asignada</t>
  </si>
  <si>
    <t xml:space="preserve">Fase de desarrollo</t>
  </si>
  <si>
    <t xml:space="preserve">Fecha estimada de inicio</t>
  </si>
  <si>
    <t xml:space="preserve">Fecha estimada de entrega</t>
  </si>
  <si>
    <t xml:space="preserve">Fecha real de inicio de desarrollo</t>
  </si>
  <si>
    <t xml:space="preserve">Responsable de desarrollo (para indicadores de WIP)</t>
  </si>
  <si>
    <t xml:space="preserve">Responsable de QA (para indicadores de WIP)</t>
  </si>
  <si>
    <t xml:space="preserve">Matriz de prioridad (no editar — solo consulta)</t>
  </si>
  <si>
    <t xml:space="preserve">Portal de autoservicio para clientes</t>
  </si>
  <si>
    <t xml:space="preserve">Área comercial</t>
  </si>
  <si>
    <t xml:space="preserve">Reducir llamadas al área de atención por consultas simples que el cliente podría resolver solo.</t>
  </si>
  <si>
    <t xml:space="preserve">Tiene fecha límite real</t>
  </si>
  <si>
    <t xml:space="preserve">Alto</t>
  </si>
  <si>
    <t xml:space="preserve">Grande</t>
  </si>
  <si>
    <t xml:space="preserve">Producto y experiencia de cliente</t>
  </si>
  <si>
    <t xml:space="preserve">En desarrollo</t>
  </si>
  <si>
    <t xml:space="preserve">Depende de que el área legal apruebe los textos antes de publicar.</t>
  </si>
  <si>
    <t xml:space="preserve">Impacto \ Tamaño</t>
  </si>
  <si>
    <t xml:space="preserve">Pequeño</t>
  </si>
  <si>
    <t xml:space="preserve">Mediano</t>
  </si>
  <si>
    <t xml:space="preserve">Automatizar el reporte semanal de indicadores</t>
  </si>
  <si>
    <t xml:space="preserve">Operaciones</t>
  </si>
  <si>
    <t xml:space="preserve">Hoy una persona arma el reporte a mano cada semana; automatizarlo libera ese tiempo para otras prioridades.</t>
  </si>
  <si>
    <t xml:space="preserve">Puede esperar y priorizarse</t>
  </si>
  <si>
    <t xml:space="preserve">Medio</t>
  </si>
  <si>
    <t xml:space="preserve">Datos y reportes internos</t>
  </si>
  <si>
    <t xml:space="preserve">Por iniciar</t>
  </si>
  <si>
    <t xml:space="preserve">Muy alta</t>
  </si>
  <si>
    <t xml:space="preserve">Alta</t>
  </si>
  <si>
    <t xml:space="preserve">Cerrar hallazgos del diagnóstico de seguridad e infraestructura</t>
  </si>
  <si>
    <t xml:space="preserve">Infraestructura</t>
  </si>
  <si>
    <t xml:space="preserve">Atender los riesgos ya identificados en un diagnóstico externo antes de que se conviertan en un incidente.</t>
  </si>
  <si>
    <t xml:space="preserve">Urgente ahora</t>
  </si>
  <si>
    <t xml:space="preserve">Plataforma e infraestructura</t>
  </si>
  <si>
    <t xml:space="preserve">En pruebas de calidad</t>
  </si>
  <si>
    <t xml:space="preserve">Viene de un diagnóstico ya completado; en revisión antes de activar los cambios en producción.</t>
  </si>
  <si>
    <t xml:space="preserve">Media</t>
  </si>
  <si>
    <t xml:space="preserve">Migrar el catálogo de productos a la nueva base de datos</t>
  </si>
  <si>
    <t xml:space="preserve">Producto</t>
  </si>
  <si>
    <t xml:space="preserve">Reduce tiempos de carga que afectan la conversión en el sitio.</t>
  </si>
  <si>
    <t xml:space="preserve">En producción (ventana de observación)</t>
  </si>
  <si>
    <t xml:space="preserve">Ya salió a producción; se vigila estabilidad antes de cerrar el proyecto.</t>
  </si>
  <si>
    <t xml:space="preserve">Bajo</t>
  </si>
  <si>
    <t xml:space="preserve">Baja</t>
  </si>
  <si>
    <t xml:space="preserve">Actualizar librería interna de componentes visuales</t>
  </si>
  <si>
    <t xml:space="preserve">Equipo de desarrollo</t>
  </si>
  <si>
    <t xml:space="preserve">Reduce el tiempo de mantenimiento futuro, pero no resuelve una necesidad urgente de negocio hoy.</t>
  </si>
  <si>
    <t xml:space="preserve">Es mantenimiento o mejora interna</t>
  </si>
  <si>
    <t xml:space="preserve">Bloqueado</t>
  </si>
  <si>
    <t xml:space="preserve">Bloqueado por falta de capacidad disponible esta semana.</t>
  </si>
  <si>
    <t xml:space="preserve">Cómo leerla: impacto alto + esfuerzo pequeño siempre gana. Así lo urgente-pero-rápido de resolver no queda esperando detrás de algo grande y menos importante para el negocio.</t>
  </si>
  <si>
    <t xml:space="preserve">Cómo usar esta hoja: completa un renglón por cada proyecto o solicitud nueva (columnas en amarillo). 'Fase de desarrollo' muestra en qué momento del ciclo va cada proyecto (por iniciar, en desarrollo, en pruebas de calidad, en producción en observación, o en producción estable) — junto con 'Estado' y las fechas, responde para cuándo termina y en qué va. 'Fecha real de inicio de desarrollo', 'Fecha real de cierre', 'Responsable de desarrollo' y 'Responsable de QA' alimentan los indicadores de la hoja 'Resumen' — llénalas a medida que el ítem avanza, no al crearlo. Usa una sola persona por columna (la principal responsable de cada frente), no una lista, para que la medición de WIP no tenga ambigüedad. Las 5 filas en azul claro son ejemplos — bórralas o reemplázalas cuando empieces a registrar proyectos reales. No edites la columna 'Prioridad' ni la matriz de la derecha: se calculan solas.</t>
  </si>
  <si>
    <t xml:space="preserve">Resumen de avance</t>
  </si>
  <si>
    <t xml:space="preserve">Se actualiza solo — no edites esta hoja, edita 'Hoja de ruta' y 'Seguimiento de proyectos'.</t>
  </si>
  <si>
    <t xml:space="preserve">% de la hoja de ruta completado</t>
  </si>
  <si>
    <t xml:space="preserve">Proyectos registrados</t>
  </si>
  <si>
    <t xml:space="preserve">Estado (hoja de ruta)</t>
  </si>
  <si>
    <t xml:space="preserve">Cantidad de pasos</t>
  </si>
  <si>
    <t xml:space="preserve">Cantidad de proyectos</t>
  </si>
  <si>
    <t xml:space="preserve">Estado (proyectos)</t>
  </si>
  <si>
    <t xml:space="preserve">Cantidad</t>
  </si>
  <si>
    <t xml:space="preserve">Completado</t>
  </si>
  <si>
    <t xml:space="preserve">Cancelado</t>
  </si>
  <si>
    <t xml:space="preserve">En producción (estable)</t>
  </si>
  <si>
    <t xml:space="preserve">Indicadores (sección 9 del framework KPS)</t>
  </si>
  <si>
    <t xml:space="preserve">Se calculan solos a partir de 'Seguimiento de proyectos' — no edites esta sección, excepto la celda amarilla de Tope de WIP y la lista de personas.</t>
  </si>
  <si>
    <t xml:space="preserve">Tope de WIP por persona</t>
  </si>
  <si>
    <t xml:space="preserve">Editable — el tope individual que acordó el equipo (pilar 2 del framework).</t>
  </si>
  <si>
    <t xml:space="preserve">Indicadores de flujo (sección 9.1)</t>
  </si>
  <si>
    <t xml:space="preserve">Lead time promedio (días)</t>
  </si>
  <si>
    <t xml:space="preserve">Fecha real de cierre − Fecha estimada de inicio.</t>
  </si>
  <si>
    <t xml:space="preserve">Cycle time promedio (días)</t>
  </si>
  <si>
    <t xml:space="preserve">Fecha real de cierre − Fecha real de inicio de desarrollo.</t>
  </si>
  <si>
    <t xml:space="preserve">Eficiencia de flujo (%)</t>
  </si>
  <si>
    <t xml:space="preserve">Cycle time ÷ Lead time — cuánto del tiempo total fue trabajo activo.</t>
  </si>
  <si>
    <t xml:space="preserve">% de entrega a tiempo (Fecha fija)</t>
  </si>
  <si>
    <t xml:space="preserve">De los ítems con 'Tiene fecha límite real' ya Completados, % entregado en la fecha o antes.</t>
  </si>
  <si>
    <t xml:space="preserve">Nota: los 4 de arriba quedan vacíos hasta que empieces a llenar 'Fecha real de inicio de desarrollo' y 'Fecha real de cierre' en 'Seguimiento de proyectos' — al principio solo tienes fechas estimadas.</t>
  </si>
  <si>
    <t xml:space="preserve">Capacidad y carga por persona — foto de hoy (sección 9.2)</t>
  </si>
  <si>
    <t xml:space="preserve">Persona</t>
  </si>
  <si>
    <t xml:space="preserve">Ítems activos (En curso)</t>
  </si>
  <si>
    <t xml:space="preserve">¿Dentro del tope?</t>
  </si>
  <si>
    <t xml:space="preserve">María (ejemplo)</t>
  </si>
  <si>
    <t xml:space="preserve">Juan (ejemplo)</t>
  </si>
  <si>
    <t xml:space="preserve">Total WIP activo del portafolio</t>
  </si>
  <si>
    <t xml:space="preserve">Índice de concentración (%) — top 2 personas</t>
  </si>
  <si>
    <t xml:space="preserve">Riesgo de bus factor si supera 40% (sección 9.2 del framework).</t>
  </si>
  <si>
    <t xml:space="preserve">% de cumplimiento de WIP (personas dentro del tope)</t>
  </si>
  <si>
    <t xml:space="preserve">Sobre las personas que hoy tienen al menos 1 ítem activo.</t>
  </si>
  <si>
    <t xml:space="preserve">Cómo usar esta tabla: escribe el nombre de cada persona de tu equipo en la columna Persona (las 2 filas en azul son ejemplo, bórralas). El conteo de ítems activos suma la columna 'Responsable de desarrollo' y la columna 'Responsable de QA' de 'Seguimiento de proyectos' — así una persona de QA cuenta igual que una de desarrollo, y alguien que aparece en ambas columnas de un mismo ítem se cuenta una vez por cada rol. Usa una sola persona por columna en cada ítem, no una lista. Esta tabla es una foto de HOY; para medir tendencia real, repite la foto cada semana en el ritual semanal. Si necesitas más de 8 personas, copia el formato de una fila hacia abajo.</t>
  </si>
  <si>
    <t xml:space="preserve">Roles y gobierno (sección 5 del framework KPS)</t>
  </si>
  <si>
    <t xml:space="preserve">Cada regla necesita un dueño con nombre, y ese dueño necesita un respaldo nombrado — nunca un punto único de falla.</t>
  </si>
  <si>
    <t xml:space="preserve">Rol</t>
  </si>
  <si>
    <t xml:space="preserve">Alcance</t>
  </si>
  <si>
    <t xml:space="preserve">Titular</t>
  </si>
  <si>
    <t xml:space="preserve">Respaldo</t>
  </si>
  <si>
    <t xml:space="preserve">Responsable de Flujo de Portafolio</t>
  </si>
  <si>
    <t xml:space="preserve">General</t>
  </si>
  <si>
    <t xml:space="preserve">Mantiene la vista única de capacidad actualizada y decide qué pasa cuando alguien llega a su tope de WIP.</t>
  </si>
  <si>
    <t xml:space="preserve">Aprobador de Clase de Servicio</t>
  </si>
  <si>
    <t xml:space="preserve">Única autoridad para etiquetar un ítem como Expedite.</t>
  </si>
  <si>
    <t xml:space="preserve">Facilitador del Ritual Semanal</t>
  </si>
  <si>
    <t xml:space="preserve">Corre el triage semanal y verifica la Definición de Listo antes de que algo entre a desarrollo.</t>
  </si>
  <si>
    <t xml:space="preserve">Representante de Valor de Negocio</t>
  </si>
  <si>
    <t xml:space="preserve">Todas las líneas (confirmar si se necesita uno por línea)</t>
  </si>
  <si>
    <t xml:space="preserve">Única fuente aceptada del componente de valor de negocio (Costo de Demora) del WSJF. Sin su respaldo nombrado, este rol queda con el mismo bus factor que KPS busca eliminar en el resto del equipo.</t>
  </si>
  <si>
    <t xml:space="preserve">Líder de Flujo de Valor</t>
  </si>
  <si>
    <t xml:space="preserve">Guardia Rotativa (Firefighter)</t>
  </si>
  <si>
    <t xml:space="preserve">Absorbe lo Expedite durante su semana de turno. La rotación es, en sí misma, el mecanismo de respaldo.</t>
  </si>
  <si>
    <t xml:space="preserve">Dueño de Calidad del Flujo</t>
  </si>
  <si>
    <t xml:space="preserve">Puede bloquear el paso a 'Listo para desplegar' si no cumple la Definición de Hecho.</t>
  </si>
  <si>
    <t xml:space="preserve">Cómo usar esta hoja: completa 'Titular' y 'Respaldo' (columnas en amarillo) para cada rol con el nombre real de la persona de tu equipo. Agrega una fila de 'Líder de Flujo de Valor' por cada flujo de valor adicional que tengas — usa los mismos nombres de flujo que en la columna 'Línea de trabajo asignada' de 'Seguimiento de proyectos', para que ambas hojas hablen el mismo idioma. Ningún rol necesita ser una dedicación de tiempo completo: pueden ser sombreros que ya usan personas del equipo.</t>
  </si>
</sst>
</file>

<file path=xl/styles.xml><?xml version="1.0" encoding="utf-8"?>
<styleSheet xmlns="http://schemas.openxmlformats.org/spreadsheetml/2006/main">
  <numFmts count="5">
    <numFmt numFmtId="164" formatCode="General"/>
    <numFmt numFmtId="165" formatCode="0%"/>
    <numFmt numFmtId="166" formatCode="General"/>
    <numFmt numFmtId="167" formatCode="0.0&quot; días&quot;"/>
    <numFmt numFmtId="168" formatCode="0.0\%"/>
  </numFmts>
  <fonts count="17">
    <font>
      <sz val="11"/>
      <color theme="1"/>
      <name val="Calibri"/>
      <family val="2"/>
      <charset val="1"/>
    </font>
    <font>
      <sz val="10"/>
      <name val="Arial"/>
      <family val="0"/>
    </font>
    <font>
      <sz val="10"/>
      <name val="Arial"/>
      <family val="0"/>
    </font>
    <font>
      <sz val="10"/>
      <name val="Arial"/>
      <family val="0"/>
    </font>
    <font>
      <b val="true"/>
      <sz val="16"/>
      <color rgb="FF1A1A19"/>
      <name val="Arial"/>
      <family val="0"/>
      <charset val="1"/>
    </font>
    <font>
      <i val="true"/>
      <sz val="10"/>
      <color rgb="FF52514E"/>
      <name val="Arial"/>
      <family val="0"/>
      <charset val="1"/>
    </font>
    <font>
      <b val="true"/>
      <sz val="11"/>
      <color rgb="FF1A1A19"/>
      <name val="Arial"/>
      <family val="0"/>
      <charset val="1"/>
    </font>
    <font>
      <sz val="10.5"/>
      <name val="Arial"/>
      <family val="0"/>
      <charset val="1"/>
    </font>
    <font>
      <b val="true"/>
      <sz val="11"/>
      <color rgb="FFFFFFFF"/>
      <name val="Arial"/>
      <family val="0"/>
      <charset val="1"/>
    </font>
    <font>
      <i val="true"/>
      <sz val="9.5"/>
      <color rgb="FF52514E"/>
      <name val="Arial"/>
      <family val="0"/>
      <charset val="1"/>
    </font>
    <font>
      <sz val="11"/>
      <name val="Arial"/>
      <family val="0"/>
      <charset val="1"/>
    </font>
    <font>
      <b val="true"/>
      <sz val="10.5"/>
      <name val="Arial"/>
      <family val="0"/>
      <charset val="1"/>
    </font>
    <font>
      <b val="true"/>
      <sz val="36"/>
      <color rgb="FF1A1A19"/>
      <name val="Arial"/>
      <family val="0"/>
      <charset val="1"/>
    </font>
    <font>
      <sz val="9"/>
      <name val="Arial"/>
      <family val="0"/>
      <charset val="1"/>
    </font>
    <font>
      <b val="true"/>
      <sz val="12"/>
      <color rgb="FF1A1A19"/>
      <name val="Arial"/>
      <family val="0"/>
      <charset val="1"/>
    </font>
    <font>
      <b val="true"/>
      <sz val="18"/>
      <color rgb="FF000000"/>
      <name val="Calibri"/>
      <family val="2"/>
    </font>
    <font>
      <sz val="10"/>
      <color rgb="FF000000"/>
      <name val="Calibri"/>
      <family val="2"/>
    </font>
  </fonts>
  <fills count="6">
    <fill>
      <patternFill patternType="none"/>
    </fill>
    <fill>
      <patternFill patternType="gray125"/>
    </fill>
    <fill>
      <patternFill patternType="solid">
        <fgColor rgb="FF1A1A19"/>
        <bgColor rgb="FF003300"/>
      </patternFill>
    </fill>
    <fill>
      <patternFill patternType="solid">
        <fgColor rgb="FFFFF9E0"/>
        <bgColor rgb="FFFFFFFF"/>
      </patternFill>
    </fill>
    <fill>
      <patternFill patternType="solid">
        <fgColor rgb="FFEAF1FB"/>
        <bgColor rgb="FFE7E6E1"/>
      </patternFill>
    </fill>
    <fill>
      <patternFill patternType="solid">
        <fgColor rgb="FFE7E6E1"/>
        <bgColor rgb="FFEAF1FB"/>
      </patternFill>
    </fill>
  </fills>
  <borders count="3">
    <border diagonalUp="false" diagonalDown="false">
      <left/>
      <right/>
      <top/>
      <bottom/>
      <diagonal/>
    </border>
    <border diagonalUp="false" diagonalDown="false">
      <left style="thin">
        <color rgb="FFD8D7D0"/>
      </left>
      <right style="thin">
        <color rgb="FFD8D7D0"/>
      </right>
      <top style="thin">
        <color rgb="FFD8D7D0"/>
      </top>
      <bottom style="thin">
        <color rgb="FFD8D7D0"/>
      </bottom>
      <diagonal/>
    </border>
    <border diagonalUp="false" diagonalDown="false">
      <left style="thin">
        <color rgb="FFD8D7D0"/>
      </left>
      <right/>
      <top style="thin">
        <color rgb="FFD8D7D0"/>
      </top>
      <bottom style="thin">
        <color rgb="FFD8D7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12" fillId="0" borderId="0" xfId="0" applyFont="true" applyBorder="true" applyAlignment="true" applyProtection="false">
      <alignment horizontal="left" vertical="center" textRotation="0" wrapText="false" indent="0" shrinkToFit="false"/>
      <protection locked="true" hidden="false"/>
    </xf>
    <xf numFmtId="166" fontId="12"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CA30C"/>
      <rgbColor rgb="FF000080"/>
      <rgbColor rgb="FF808000"/>
      <rgbColor rgb="FF800080"/>
      <rgbColor rgb="FF008080"/>
      <rgbColor rgb="FFC3C2B7"/>
      <rgbColor rgb="FF878787"/>
      <rgbColor rgb="FF7EA6D2"/>
      <rgbColor rgb="FFD03B3B"/>
      <rgbColor rgb="FFFFF9E0"/>
      <rgbColor rgb="FFEAF1FB"/>
      <rgbColor rgb="FF660066"/>
      <rgbColor rgb="FFFF8080"/>
      <rgbColor rgb="FF0066CC"/>
      <rgbColor rgb="FFC7DBEE"/>
      <rgbColor rgb="FF000080"/>
      <rgbColor rgb="FFFF00FF"/>
      <rgbColor rgb="FFFFFF00"/>
      <rgbColor rgb="FF00FFFF"/>
      <rgbColor rgb="FF800080"/>
      <rgbColor rgb="FF800000"/>
      <rgbColor rgb="FF008080"/>
      <rgbColor rgb="FF0000FF"/>
      <rgbColor rgb="FF00CCFF"/>
      <rgbColor rgb="FFD9D9D9"/>
      <rgbColor rgb="FFE7E6E1"/>
      <rgbColor rgb="FFFFFF99"/>
      <rgbColor rgb="FF99CCFF"/>
      <rgbColor rgb="FFFF99CC"/>
      <rgbColor rgb="FFCC99FF"/>
      <rgbColor rgb="FFD8D7D0"/>
      <rgbColor rgb="FF3366FF"/>
      <rgbColor rgb="FF33CCCC"/>
      <rgbColor rgb="FF99CC00"/>
      <rgbColor rgb="FFFFCC00"/>
      <rgbColor rgb="FFFAB219"/>
      <rgbColor rgb="FFFF6600"/>
      <rgbColor rgb="FF3D6FA6"/>
      <rgbColor rgb="FF898781"/>
      <rgbColor rgb="FF1B3F66"/>
      <rgbColor rgb="FF339966"/>
      <rgbColor rgb="FF003300"/>
      <rgbColor rgb="FF1A1A19"/>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Pasos de la hoja de ruta por estado</a:t>
            </a:r>
          </a:p>
        </c:rich>
      </c:tx>
      <c:overlay val="0"/>
      <c:spPr>
        <a:noFill/>
        <a:ln w="0">
          <a:noFill/>
        </a:ln>
      </c:spPr>
    </c:title>
    <c:autoTitleDeleted val="0"/>
    <c:plotArea>
      <c:barChart>
        <c:barDir val="bar"/>
        <c:grouping val="clustered"/>
        <c:varyColors val="0"/>
        <c:ser>
          <c:idx val="0"/>
          <c:order val="0"/>
          <c:tx>
            <c:strRef>
              <c:f>Resumen!B8</c:f>
              <c:strCache>
                <c:ptCount val="1"/>
                <c:pt idx="0">
                  <c:v>Cantidad de pasos</c:v>
                </c:pt>
              </c:strCache>
            </c:strRef>
          </c:tx>
          <c:spPr>
            <a:solidFill>
              <a:srgbClr val="898781"/>
            </a:solidFill>
            <a:ln w="0">
              <a:noFill/>
            </a:ln>
          </c:spPr>
          <c:invertIfNegative val="0"/>
          <c:dPt>
            <c:idx val="0"/>
            <c:invertIfNegative val="0"/>
            <c:spPr>
              <a:solidFill>
                <a:srgbClr val="0ca30c"/>
              </a:solidFill>
              <a:ln w="0">
                <a:noFill/>
              </a:ln>
            </c:spPr>
          </c:dPt>
          <c:dPt>
            <c:idx val="1"/>
            <c:invertIfNegative val="0"/>
            <c:spPr>
              <a:solidFill>
                <a:srgbClr val="fab219"/>
              </a:solidFill>
              <a:ln w="0">
                <a:noFill/>
              </a:ln>
            </c:spPr>
          </c:dPt>
          <c:dPt>
            <c:idx val="2"/>
            <c:invertIfNegative val="0"/>
            <c:spPr>
              <a:solidFill>
                <a:srgbClr val="d03b3b"/>
              </a:solidFill>
              <a:ln w="0">
                <a:noFill/>
              </a:ln>
            </c:spPr>
          </c:dPt>
          <c:dPt>
            <c:idx val="3"/>
            <c:invertIfNegative val="0"/>
            <c:spPr>
              <a:solidFill>
                <a:srgbClr val="c3c2b7"/>
              </a:solidFill>
              <a:ln w="0">
                <a:noFill/>
              </a:ln>
            </c:spPr>
          </c:dPt>
          <c:dLbls>
            <c:dLbl>
              <c:idx val="0"/>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3"/>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Resumen!$A$9:$A$12</c:f>
              <c:strCache>
                <c:ptCount val="4"/>
                <c:pt idx="0">
                  <c:v>Completado</c:v>
                </c:pt>
                <c:pt idx="1">
                  <c:v>En curso</c:v>
                </c:pt>
                <c:pt idx="2">
                  <c:v>Bloqueado</c:v>
                </c:pt>
                <c:pt idx="3">
                  <c:v>No iniciado</c:v>
                </c:pt>
              </c:strCache>
            </c:strRef>
          </c:cat>
          <c:val>
            <c:numRef>
              <c:f>Resumen!$B$9:$B$12</c:f>
              <c:numCache>
                <c:formatCode>General</c:formatCode>
                <c:ptCount val="4"/>
                <c:pt idx="0">
                  <c:v>0</c:v>
                </c:pt>
                <c:pt idx="1">
                  <c:v>1</c:v>
                </c:pt>
                <c:pt idx="2">
                  <c:v>0</c:v>
                </c:pt>
                <c:pt idx="3">
                  <c:v>9</c:v>
                </c:pt>
              </c:numCache>
            </c:numRef>
          </c:val>
        </c:ser>
        <c:gapWidth val="150"/>
        <c:overlap val="0"/>
        <c:axId val="93475055"/>
        <c:axId val="30724622"/>
      </c:barChart>
      <c:catAx>
        <c:axId val="9347505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724622"/>
        <c:crosses val="autoZero"/>
        <c:auto val="1"/>
        <c:lblAlgn val="ctr"/>
        <c:lblOffset val="100"/>
        <c:noMultiLvlLbl val="0"/>
      </c:catAx>
      <c:valAx>
        <c:axId val="30724622"/>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47505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Proyectos por prioridad</a:t>
            </a:r>
          </a:p>
        </c:rich>
      </c:tx>
      <c:overlay val="0"/>
      <c:spPr>
        <a:noFill/>
        <a:ln w="0">
          <a:noFill/>
        </a:ln>
      </c:spPr>
    </c:title>
    <c:autoTitleDeleted val="0"/>
    <c:plotArea>
      <c:barChart>
        <c:barDir val="bar"/>
        <c:grouping val="clustered"/>
        <c:varyColors val="0"/>
        <c:ser>
          <c:idx val="0"/>
          <c:order val="0"/>
          <c:tx>
            <c:strRef>
              <c:f>Resumen!E8</c:f>
              <c:strCache>
                <c:ptCount val="1"/>
                <c:pt idx="0">
                  <c:v>Cantidad de proyectos</c:v>
                </c:pt>
              </c:strCache>
            </c:strRef>
          </c:tx>
          <c:spPr>
            <a:solidFill>
              <a:srgbClr val="3d6fa6"/>
            </a:solidFill>
            <a:ln w="0">
              <a:noFill/>
            </a:ln>
          </c:spPr>
          <c:invertIfNegative val="0"/>
          <c:dPt>
            <c:idx val="0"/>
            <c:invertIfNegative val="0"/>
            <c:spPr>
              <a:solidFill>
                <a:srgbClr val="1b3f66"/>
              </a:solidFill>
              <a:ln w="0">
                <a:noFill/>
              </a:ln>
            </c:spPr>
          </c:dPt>
          <c:dPt>
            <c:idx val="1"/>
            <c:invertIfNegative val="0"/>
            <c:spPr>
              <a:solidFill>
                <a:srgbClr val="3d6fa6"/>
              </a:solidFill>
              <a:ln w="0">
                <a:noFill/>
              </a:ln>
            </c:spPr>
          </c:dPt>
          <c:dPt>
            <c:idx val="2"/>
            <c:invertIfNegative val="0"/>
            <c:spPr>
              <a:solidFill>
                <a:srgbClr val="7ea6d2"/>
              </a:solidFill>
              <a:ln w="0">
                <a:noFill/>
              </a:ln>
            </c:spPr>
          </c:dPt>
          <c:dPt>
            <c:idx val="3"/>
            <c:invertIfNegative val="0"/>
            <c:spPr>
              <a:solidFill>
                <a:srgbClr val="c7dbee"/>
              </a:solidFill>
              <a:ln w="0">
                <a:noFill/>
              </a:ln>
            </c:spPr>
          </c:dPt>
          <c:dLbls>
            <c:dLbl>
              <c:idx val="0"/>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3"/>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Resumen!$D$9:$D$12</c:f>
              <c:strCache>
                <c:ptCount val="4"/>
                <c:pt idx="0">
                  <c:v>Muy alta</c:v>
                </c:pt>
                <c:pt idx="1">
                  <c:v>Alta</c:v>
                </c:pt>
                <c:pt idx="2">
                  <c:v>Media</c:v>
                </c:pt>
                <c:pt idx="3">
                  <c:v>Baja</c:v>
                </c:pt>
              </c:strCache>
            </c:strRef>
          </c:cat>
          <c:val>
            <c:numRef>
              <c:f>Resumen!$E$9:$E$12</c:f>
              <c:numCache>
                <c:formatCode>General</c:formatCode>
                <c:ptCount val="4"/>
                <c:pt idx="0">
                  <c:v>0</c:v>
                </c:pt>
                <c:pt idx="1">
                  <c:v>4</c:v>
                </c:pt>
                <c:pt idx="2">
                  <c:v>0</c:v>
                </c:pt>
                <c:pt idx="3">
                  <c:v>1</c:v>
                </c:pt>
              </c:numCache>
            </c:numRef>
          </c:val>
        </c:ser>
        <c:gapWidth val="150"/>
        <c:overlap val="0"/>
        <c:axId val="22551687"/>
        <c:axId val="31234237"/>
      </c:barChart>
      <c:catAx>
        <c:axId val="2255168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234237"/>
        <c:crosses val="autoZero"/>
        <c:auto val="1"/>
        <c:lblAlgn val="ctr"/>
        <c:lblOffset val="100"/>
        <c:noMultiLvlLbl val="0"/>
      </c:catAx>
      <c:valAx>
        <c:axId val="31234237"/>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5516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130680</xdr:rowOff>
    </xdr:from>
    <xdr:to>
      <xdr:col>2</xdr:col>
      <xdr:colOff>1654920</xdr:colOff>
      <xdr:row>23</xdr:row>
      <xdr:rowOff>264600</xdr:rowOff>
    </xdr:to>
    <xdr:graphicFrame>
      <xdr:nvGraphicFramePr>
        <xdr:cNvPr id="0" name="Chart 1"/>
        <xdr:cNvGraphicFramePr/>
      </xdr:nvGraphicFramePr>
      <xdr:xfrm>
        <a:off x="0" y="2664360"/>
        <a:ext cx="5038200" cy="2496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13</xdr:row>
      <xdr:rowOff>130680</xdr:rowOff>
    </xdr:from>
    <xdr:to>
      <xdr:col>7</xdr:col>
      <xdr:colOff>386280</xdr:colOff>
      <xdr:row>23</xdr:row>
      <xdr:rowOff>264600</xdr:rowOff>
    </xdr:to>
    <xdr:graphicFrame>
      <xdr:nvGraphicFramePr>
        <xdr:cNvPr id="1" name="Chart 2"/>
        <xdr:cNvGraphicFramePr/>
      </xdr:nvGraphicFramePr>
      <xdr:xfrm>
        <a:off x="5497920" y="2664360"/>
        <a:ext cx="5038200" cy="2496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6" min="2" style="1" width="18"/>
  </cols>
  <sheetData>
    <row r="1" customFormat="false" ht="19.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4" customFormat="false" ht="61.5" hidden="false" customHeight="true" outlineLevel="0" collapsed="false">
      <c r="A4" s="4" t="s">
        <v>2</v>
      </c>
      <c r="B4" s="5" t="s">
        <v>3</v>
      </c>
      <c r="C4" s="5"/>
      <c r="D4" s="5"/>
      <c r="E4" s="5"/>
      <c r="F4" s="5"/>
    </row>
    <row r="5" customFormat="false" ht="61.5" hidden="false" customHeight="true" outlineLevel="0" collapsed="false">
      <c r="A5" s="4" t="s">
        <v>4</v>
      </c>
      <c r="B5" s="5" t="s">
        <v>5</v>
      </c>
      <c r="C5" s="5"/>
      <c r="D5" s="5"/>
      <c r="E5" s="5"/>
      <c r="F5" s="5"/>
    </row>
    <row r="6" customFormat="false" ht="61.5" hidden="false" customHeight="true" outlineLevel="0" collapsed="false">
      <c r="A6" s="4" t="s">
        <v>6</v>
      </c>
      <c r="B6" s="5" t="s">
        <v>7</v>
      </c>
      <c r="C6" s="5"/>
      <c r="D6" s="5"/>
      <c r="E6" s="5"/>
      <c r="F6" s="5"/>
    </row>
    <row r="7" customFormat="false" ht="61.5" hidden="false" customHeight="true" outlineLevel="0" collapsed="false">
      <c r="A7" s="4" t="s">
        <v>8</v>
      </c>
      <c r="B7" s="5" t="s">
        <v>9</v>
      </c>
      <c r="C7" s="5"/>
      <c r="D7" s="5"/>
      <c r="E7" s="5"/>
      <c r="F7" s="5"/>
    </row>
    <row r="8" customFormat="false" ht="61.5" hidden="false" customHeight="true" outlineLevel="0" collapsed="false">
      <c r="A8" s="4" t="s">
        <v>10</v>
      </c>
      <c r="B8" s="5" t="s">
        <v>11</v>
      </c>
      <c r="C8" s="5"/>
      <c r="D8" s="5"/>
      <c r="E8" s="5"/>
      <c r="F8" s="5"/>
    </row>
    <row r="9" customFormat="false" ht="61.5" hidden="false" customHeight="true" outlineLevel="0" collapsed="false">
      <c r="A9" s="4" t="s">
        <v>12</v>
      </c>
      <c r="B9" s="5" t="s">
        <v>13</v>
      </c>
      <c r="C9" s="5"/>
      <c r="D9" s="5"/>
      <c r="E9" s="5"/>
      <c r="F9" s="5"/>
    </row>
    <row r="10" customFormat="false" ht="61.5" hidden="false" customHeight="true" outlineLevel="0" collapsed="false">
      <c r="A10" s="4" t="s">
        <v>14</v>
      </c>
      <c r="B10" s="5" t="s">
        <v>15</v>
      </c>
      <c r="C10" s="5"/>
      <c r="D10" s="5"/>
      <c r="E10" s="5"/>
      <c r="F10" s="5"/>
    </row>
    <row r="11" customFormat="false" ht="61.5" hidden="false" customHeight="true" outlineLevel="0" collapsed="false">
      <c r="A11" s="4" t="s">
        <v>16</v>
      </c>
      <c r="B11" s="5" t="s">
        <v>17</v>
      </c>
      <c r="C11" s="5"/>
      <c r="D11" s="5"/>
      <c r="E11" s="5"/>
      <c r="F11" s="5"/>
    </row>
    <row r="12" customFormat="false" ht="61.5" hidden="false" customHeight="true" outlineLevel="0" collapsed="false">
      <c r="A12" s="4" t="s">
        <v>18</v>
      </c>
      <c r="B12" s="5" t="s">
        <v>19</v>
      </c>
      <c r="C12" s="5"/>
      <c r="D12" s="5"/>
      <c r="E12" s="5"/>
      <c r="F12" s="5"/>
    </row>
    <row r="13" customFormat="false" ht="61.5" hidden="false" customHeight="true" outlineLevel="0" collapsed="false">
      <c r="A13" s="4" t="s">
        <v>20</v>
      </c>
      <c r="B13" s="5" t="s">
        <v>21</v>
      </c>
      <c r="C13" s="5"/>
      <c r="D13" s="5"/>
      <c r="E13" s="5"/>
      <c r="F13" s="5"/>
    </row>
  </sheetData>
  <mergeCells count="12">
    <mergeCell ref="A1:F1"/>
    <mergeCell ref="A2:F2"/>
    <mergeCell ref="B4:F4"/>
    <mergeCell ref="B5:F5"/>
    <mergeCell ref="B6:F6"/>
    <mergeCell ref="B7:F7"/>
    <mergeCell ref="B8:F8"/>
    <mergeCell ref="B9:F9"/>
    <mergeCell ref="B10:F10"/>
    <mergeCell ref="B11:F11"/>
    <mergeCell ref="B12:F12"/>
    <mergeCell ref="B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46"/>
    <col collapsed="false" customWidth="true" hidden="false" outlineLevel="0" max="4" min="4" style="1" width="34"/>
    <col collapsed="false" customWidth="true" hidden="false" outlineLevel="0" max="5" min="5" style="1" width="16"/>
    <col collapsed="false" customWidth="true" hidden="false" outlineLevel="0" max="7" min="6" style="1" width="14"/>
    <col collapsed="false" customWidth="true" hidden="false" outlineLevel="0" max="8" min="8" style="1" width="16"/>
    <col collapsed="false" customWidth="true" hidden="false" outlineLevel="0" max="9" min="9" style="1" width="30"/>
  </cols>
  <sheetData>
    <row r="1" customFormat="false" ht="21.75" hidden="false" customHeight="true" outlineLevel="0" collapsed="false">
      <c r="A1" s="2" t="s">
        <v>22</v>
      </c>
      <c r="B1" s="2"/>
      <c r="C1" s="2"/>
      <c r="D1" s="2"/>
      <c r="E1" s="2"/>
      <c r="F1" s="2"/>
      <c r="G1" s="2"/>
      <c r="H1" s="2"/>
      <c r="I1" s="2"/>
    </row>
    <row r="2" customFormat="false" ht="15.75" hidden="false" customHeight="true" outlineLevel="0" collapsed="false">
      <c r="A2" s="3" t="s">
        <v>23</v>
      </c>
      <c r="B2" s="3"/>
      <c r="C2" s="3"/>
      <c r="D2" s="3"/>
      <c r="E2" s="3"/>
      <c r="F2" s="3"/>
      <c r="G2" s="3"/>
      <c r="H2" s="3"/>
      <c r="I2" s="3"/>
    </row>
    <row r="4" customFormat="false" ht="26.25" hidden="false" customHeight="true" outlineLevel="0" collapsed="false">
      <c r="A4" s="6" t="s">
        <v>24</v>
      </c>
      <c r="B4" s="6" t="s">
        <v>25</v>
      </c>
      <c r="C4" s="6" t="s">
        <v>26</v>
      </c>
      <c r="D4" s="6" t="s">
        <v>27</v>
      </c>
      <c r="E4" s="6" t="s">
        <v>28</v>
      </c>
      <c r="F4" s="6" t="s">
        <v>29</v>
      </c>
      <c r="G4" s="6" t="s">
        <v>30</v>
      </c>
      <c r="H4" s="6" t="s">
        <v>31</v>
      </c>
      <c r="I4" s="6" t="s">
        <v>32</v>
      </c>
    </row>
    <row r="5" customFormat="false" ht="61.5" hidden="false" customHeight="true" outlineLevel="0" collapsed="false">
      <c r="A5" s="7" t="n">
        <v>0</v>
      </c>
      <c r="B5" s="7" t="s">
        <v>33</v>
      </c>
      <c r="C5" s="7" t="s">
        <v>34</v>
      </c>
      <c r="D5" s="7" t="s">
        <v>35</v>
      </c>
      <c r="E5" s="8"/>
      <c r="F5" s="8" t="s">
        <v>36</v>
      </c>
      <c r="G5" s="8"/>
      <c r="H5" s="8"/>
      <c r="I5" s="8" t="s">
        <v>37</v>
      </c>
    </row>
    <row r="6" customFormat="false" ht="61.5" hidden="false" customHeight="true" outlineLevel="0" collapsed="false">
      <c r="A6" s="7" t="n">
        <v>1</v>
      </c>
      <c r="B6" s="7" t="s">
        <v>38</v>
      </c>
      <c r="C6" s="7" t="s">
        <v>39</v>
      </c>
      <c r="D6" s="7" t="s">
        <v>40</v>
      </c>
      <c r="E6" s="8"/>
      <c r="F6" s="8" t="s">
        <v>41</v>
      </c>
      <c r="G6" s="8"/>
      <c r="H6" s="8"/>
      <c r="I6" s="8"/>
    </row>
    <row r="7" customFormat="false" ht="61.5" hidden="false" customHeight="true" outlineLevel="0" collapsed="false">
      <c r="A7" s="7" t="n">
        <v>2</v>
      </c>
      <c r="B7" s="7" t="s">
        <v>42</v>
      </c>
      <c r="C7" s="7" t="s">
        <v>43</v>
      </c>
      <c r="D7" s="7" t="s">
        <v>44</v>
      </c>
      <c r="E7" s="8"/>
      <c r="F7" s="8" t="s">
        <v>41</v>
      </c>
      <c r="G7" s="8"/>
      <c r="H7" s="8"/>
      <c r="I7" s="8"/>
    </row>
    <row r="8" customFormat="false" ht="61.5" hidden="false" customHeight="true" outlineLevel="0" collapsed="false">
      <c r="A8" s="7" t="n">
        <v>3</v>
      </c>
      <c r="B8" s="7" t="s">
        <v>45</v>
      </c>
      <c r="C8" s="7" t="s">
        <v>46</v>
      </c>
      <c r="D8" s="7" t="s">
        <v>47</v>
      </c>
      <c r="E8" s="8"/>
      <c r="F8" s="8" t="s">
        <v>41</v>
      </c>
      <c r="G8" s="8"/>
      <c r="H8" s="8"/>
      <c r="I8" s="8"/>
    </row>
    <row r="9" customFormat="false" ht="61.5" hidden="false" customHeight="true" outlineLevel="0" collapsed="false">
      <c r="A9" s="7" t="n">
        <v>4</v>
      </c>
      <c r="B9" s="7" t="s">
        <v>48</v>
      </c>
      <c r="C9" s="7" t="s">
        <v>49</v>
      </c>
      <c r="D9" s="7" t="s">
        <v>50</v>
      </c>
      <c r="E9" s="8"/>
      <c r="F9" s="8" t="s">
        <v>41</v>
      </c>
      <c r="G9" s="8"/>
      <c r="H9" s="8"/>
      <c r="I9" s="8"/>
    </row>
    <row r="10" customFormat="false" ht="61.5" hidden="false" customHeight="true" outlineLevel="0" collapsed="false">
      <c r="A10" s="7" t="n">
        <v>5</v>
      </c>
      <c r="B10" s="7" t="s">
        <v>51</v>
      </c>
      <c r="C10" s="7" t="s">
        <v>52</v>
      </c>
      <c r="D10" s="7" t="s">
        <v>53</v>
      </c>
      <c r="E10" s="8"/>
      <c r="F10" s="8" t="s">
        <v>41</v>
      </c>
      <c r="G10" s="8"/>
      <c r="H10" s="8"/>
      <c r="I10" s="8"/>
    </row>
    <row r="11" customFormat="false" ht="61.5" hidden="false" customHeight="true" outlineLevel="0" collapsed="false">
      <c r="A11" s="7" t="n">
        <v>6</v>
      </c>
      <c r="B11" s="7" t="s">
        <v>54</v>
      </c>
      <c r="C11" s="7" t="s">
        <v>55</v>
      </c>
      <c r="D11" s="7" t="s">
        <v>56</v>
      </c>
      <c r="E11" s="8"/>
      <c r="F11" s="8" t="s">
        <v>41</v>
      </c>
      <c r="G11" s="8"/>
      <c r="H11" s="8"/>
      <c r="I11" s="8"/>
    </row>
    <row r="12" customFormat="false" ht="61.5" hidden="false" customHeight="true" outlineLevel="0" collapsed="false">
      <c r="A12" s="7" t="n">
        <v>7</v>
      </c>
      <c r="B12" s="7" t="s">
        <v>57</v>
      </c>
      <c r="C12" s="7" t="s">
        <v>58</v>
      </c>
      <c r="D12" s="7" t="s">
        <v>59</v>
      </c>
      <c r="E12" s="8"/>
      <c r="F12" s="8" t="s">
        <v>41</v>
      </c>
      <c r="G12" s="8"/>
      <c r="H12" s="8"/>
      <c r="I12" s="8"/>
    </row>
    <row r="13" customFormat="false" ht="61.5" hidden="false" customHeight="true" outlineLevel="0" collapsed="false">
      <c r="A13" s="7" t="n">
        <v>8</v>
      </c>
      <c r="B13" s="7" t="s">
        <v>60</v>
      </c>
      <c r="C13" s="7" t="s">
        <v>61</v>
      </c>
      <c r="D13" s="7" t="s">
        <v>62</v>
      </c>
      <c r="E13" s="8"/>
      <c r="F13" s="8" t="s">
        <v>41</v>
      </c>
      <c r="G13" s="8"/>
      <c r="H13" s="8"/>
      <c r="I13" s="8"/>
    </row>
    <row r="14" customFormat="false" ht="61.5" hidden="false" customHeight="true" outlineLevel="0" collapsed="false">
      <c r="A14" s="7" t="n">
        <v>9</v>
      </c>
      <c r="B14" s="7" t="s">
        <v>63</v>
      </c>
      <c r="C14" s="7" t="s">
        <v>64</v>
      </c>
      <c r="D14" s="7" t="s">
        <v>65</v>
      </c>
      <c r="E14" s="8"/>
      <c r="F14" s="8" t="s">
        <v>41</v>
      </c>
      <c r="G14" s="8"/>
      <c r="H14" s="8"/>
      <c r="I14" s="8"/>
    </row>
    <row r="16" customFormat="false" ht="15" hidden="false" customHeight="true" outlineLevel="0" collapsed="false">
      <c r="A16" s="9" t="s">
        <v>66</v>
      </c>
      <c r="B16" s="9"/>
      <c r="C16" s="9"/>
      <c r="D16" s="9"/>
      <c r="E16" s="9"/>
      <c r="F16" s="9"/>
      <c r="G16" s="9"/>
      <c r="H16" s="9"/>
      <c r="I16" s="9"/>
    </row>
  </sheetData>
  <mergeCells count="3">
    <mergeCell ref="A1:I1"/>
    <mergeCell ref="A2:I2"/>
    <mergeCell ref="A16:I16"/>
  </mergeCells>
  <dataValidations count="1">
    <dataValidation allowBlank="true" errorStyle="stop" operator="between" showDropDown="false" showErrorMessage="false" showInputMessage="false" sqref="F5:F14" type="list">
      <formula1>"No iniciado,En curso,Completado,Bloqueado"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38"/>
    <col collapsed="false" customWidth="true" hidden="false" outlineLevel="0" max="4" min="4" style="1" width="20"/>
    <col collapsed="false" customWidth="true" hidden="false" outlineLevel="0" max="5" min="5" style="1" width="16"/>
    <col collapsed="false" customWidth="true" hidden="false" outlineLevel="0" max="6" min="6" style="1" width="14"/>
    <col collapsed="false" customWidth="true" hidden="false" outlineLevel="0" max="7" min="7" style="1" width="12"/>
    <col collapsed="false" customWidth="true" hidden="false" outlineLevel="0" max="8" min="8" style="1" width="22"/>
    <col collapsed="false" customWidth="true" hidden="false" outlineLevel="0" max="9" min="9" style="1" width="16"/>
    <col collapsed="false" customWidth="true" hidden="false" outlineLevel="0" max="10" min="10" style="1" width="14"/>
    <col collapsed="false" customWidth="true" hidden="false" outlineLevel="0" max="11" min="11" style="1" width="22"/>
    <col collapsed="false" customWidth="true" hidden="false" outlineLevel="0" max="13" min="12" style="1" width="16"/>
    <col collapsed="false" customWidth="true" hidden="false" outlineLevel="0" max="14" min="14" style="1" width="30"/>
    <col collapsed="false" customWidth="true" hidden="false" outlineLevel="0" max="15" min="15" style="1" width="18"/>
    <col collapsed="false" customWidth="true" hidden="false" outlineLevel="0" max="16" min="16" style="1" width="16"/>
    <col collapsed="false" customWidth="true" hidden="false" outlineLevel="0" max="18" min="17" style="1" width="26"/>
    <col collapsed="false" customWidth="true" hidden="false" outlineLevel="0" max="19" min="19" style="1" width="3"/>
    <col collapsed="false" customWidth="true" hidden="false" outlineLevel="0" max="22" min="20" style="1" width="16"/>
    <col collapsed="false" customWidth="true" hidden="false" outlineLevel="0" max="23" min="23" style="1" width="13"/>
  </cols>
  <sheetData>
    <row r="1" customFormat="false" ht="21.75" hidden="false" customHeight="true" outlineLevel="0" collapsed="false">
      <c r="A1" s="2" t="s">
        <v>67</v>
      </c>
      <c r="B1" s="2"/>
      <c r="C1" s="2"/>
      <c r="D1" s="2"/>
      <c r="E1" s="2"/>
      <c r="F1" s="2"/>
      <c r="G1" s="2"/>
      <c r="H1" s="2"/>
      <c r="I1" s="2"/>
      <c r="J1" s="2"/>
      <c r="K1" s="2"/>
      <c r="L1" s="2"/>
      <c r="M1" s="2"/>
      <c r="N1" s="2"/>
      <c r="O1" s="2"/>
      <c r="P1" s="2"/>
      <c r="Q1" s="2"/>
      <c r="R1" s="2"/>
      <c r="S1" s="10"/>
      <c r="T1" s="10"/>
      <c r="U1" s="10"/>
      <c r="V1" s="10"/>
      <c r="W1" s="10"/>
      <c r="X1" s="10"/>
      <c r="Y1" s="10"/>
    </row>
    <row r="2" customFormat="false" ht="15.75" hidden="false" customHeight="true" outlineLevel="0" collapsed="false">
      <c r="A2" s="3" t="s">
        <v>68</v>
      </c>
      <c r="B2" s="3"/>
      <c r="C2" s="3"/>
      <c r="D2" s="3"/>
      <c r="E2" s="3"/>
      <c r="F2" s="3"/>
      <c r="G2" s="3"/>
      <c r="H2" s="3"/>
      <c r="I2" s="3"/>
      <c r="J2" s="3"/>
      <c r="K2" s="3"/>
      <c r="L2" s="3"/>
      <c r="M2" s="3"/>
      <c r="N2" s="3"/>
      <c r="O2" s="3"/>
      <c r="P2" s="3"/>
      <c r="Q2" s="3"/>
      <c r="R2" s="3"/>
      <c r="S2" s="10"/>
      <c r="T2" s="10"/>
      <c r="U2" s="10"/>
      <c r="V2" s="10"/>
      <c r="W2" s="10"/>
      <c r="X2" s="10"/>
      <c r="Y2" s="10"/>
    </row>
    <row r="3" customFormat="false" ht="15" hidden="false" customHeight="true" outlineLevel="0" collapsed="false">
      <c r="A3" s="10"/>
      <c r="B3" s="10"/>
      <c r="C3" s="10"/>
      <c r="D3" s="10"/>
      <c r="E3" s="10"/>
      <c r="F3" s="10"/>
      <c r="G3" s="10"/>
      <c r="H3" s="10"/>
      <c r="I3" s="10"/>
      <c r="J3" s="10"/>
      <c r="K3" s="10"/>
      <c r="L3" s="10"/>
      <c r="M3" s="10"/>
      <c r="N3" s="10"/>
      <c r="O3" s="10"/>
      <c r="P3" s="10"/>
      <c r="Q3" s="10"/>
      <c r="R3" s="10"/>
      <c r="S3" s="10"/>
      <c r="T3" s="10"/>
      <c r="U3" s="10"/>
      <c r="V3" s="10"/>
      <c r="W3" s="10"/>
      <c r="X3" s="10"/>
      <c r="Y3" s="10"/>
    </row>
    <row r="4" customFormat="false" ht="39" hidden="false" customHeight="true" outlineLevel="0" collapsed="false">
      <c r="A4" s="6" t="s">
        <v>69</v>
      </c>
      <c r="B4" s="6" t="s">
        <v>70</v>
      </c>
      <c r="C4" s="6" t="s">
        <v>71</v>
      </c>
      <c r="D4" s="6" t="s">
        <v>72</v>
      </c>
      <c r="E4" s="6" t="s">
        <v>73</v>
      </c>
      <c r="F4" s="6" t="s">
        <v>74</v>
      </c>
      <c r="G4" s="6" t="s">
        <v>75</v>
      </c>
      <c r="H4" s="6" t="s">
        <v>76</v>
      </c>
      <c r="I4" s="6" t="s">
        <v>28</v>
      </c>
      <c r="J4" s="6" t="s">
        <v>29</v>
      </c>
      <c r="K4" s="6" t="s">
        <v>77</v>
      </c>
      <c r="L4" s="6" t="s">
        <v>78</v>
      </c>
      <c r="M4" s="6" t="s">
        <v>79</v>
      </c>
      <c r="N4" s="6" t="s">
        <v>32</v>
      </c>
      <c r="O4" s="6" t="s">
        <v>80</v>
      </c>
      <c r="P4" s="6" t="s">
        <v>31</v>
      </c>
      <c r="Q4" s="6" t="s">
        <v>81</v>
      </c>
      <c r="R4" s="6" t="s">
        <v>82</v>
      </c>
      <c r="S4" s="10"/>
      <c r="T4" s="11" t="s">
        <v>83</v>
      </c>
      <c r="U4" s="11"/>
      <c r="V4" s="11"/>
      <c r="W4" s="11"/>
      <c r="X4" s="10"/>
      <c r="Y4" s="10"/>
    </row>
    <row r="5" customFormat="false" ht="48" hidden="false" customHeight="true" outlineLevel="0" collapsed="false">
      <c r="A5" s="12" t="s">
        <v>84</v>
      </c>
      <c r="B5" s="12" t="s">
        <v>85</v>
      </c>
      <c r="C5" s="12" t="s">
        <v>86</v>
      </c>
      <c r="D5" s="12" t="s">
        <v>87</v>
      </c>
      <c r="E5" s="12" t="s">
        <v>88</v>
      </c>
      <c r="F5" s="12" t="s">
        <v>89</v>
      </c>
      <c r="G5" s="13" t="str">
        <f aca="false">IFERROR(INDEX($U$6:$W$8,MATCH($E5,$T$6:$T$8,0),MATCH($F5,$U$5:$W$5,0)),"")</f>
        <v>Alta</v>
      </c>
      <c r="H5" s="12" t="s">
        <v>90</v>
      </c>
      <c r="I5" s="12"/>
      <c r="J5" s="12" t="s">
        <v>36</v>
      </c>
      <c r="K5" s="12" t="s">
        <v>91</v>
      </c>
      <c r="L5" s="12"/>
      <c r="M5" s="12"/>
      <c r="N5" s="12" t="s">
        <v>92</v>
      </c>
      <c r="O5" s="12"/>
      <c r="P5" s="12"/>
      <c r="Q5" s="12"/>
      <c r="R5" s="12"/>
      <c r="S5" s="10"/>
      <c r="T5" s="6" t="s">
        <v>93</v>
      </c>
      <c r="U5" s="6" t="s">
        <v>94</v>
      </c>
      <c r="V5" s="6" t="s">
        <v>95</v>
      </c>
      <c r="W5" s="6" t="s">
        <v>89</v>
      </c>
      <c r="X5" s="10"/>
      <c r="Y5" s="10"/>
    </row>
    <row r="6" customFormat="false" ht="48" hidden="false" customHeight="true" outlineLevel="0" collapsed="false">
      <c r="A6" s="12" t="s">
        <v>96</v>
      </c>
      <c r="B6" s="12" t="s">
        <v>97</v>
      </c>
      <c r="C6" s="12" t="s">
        <v>98</v>
      </c>
      <c r="D6" s="12" t="s">
        <v>99</v>
      </c>
      <c r="E6" s="12" t="s">
        <v>100</v>
      </c>
      <c r="F6" s="12" t="s">
        <v>94</v>
      </c>
      <c r="G6" s="13" t="str">
        <f aca="false">IFERROR(INDEX($U$6:$W$8,MATCH($E6,$T$6:$T$8,0),MATCH($F6,$U$5:$W$5,0)),"")</f>
        <v>Alta</v>
      </c>
      <c r="H6" s="12" t="s">
        <v>101</v>
      </c>
      <c r="I6" s="12"/>
      <c r="J6" s="12" t="s">
        <v>41</v>
      </c>
      <c r="K6" s="12" t="s">
        <v>102</v>
      </c>
      <c r="L6" s="12"/>
      <c r="M6" s="12"/>
      <c r="N6" s="12"/>
      <c r="O6" s="12"/>
      <c r="P6" s="12"/>
      <c r="Q6" s="12"/>
      <c r="R6" s="12"/>
      <c r="S6" s="10"/>
      <c r="T6" s="14" t="s">
        <v>88</v>
      </c>
      <c r="U6" s="15" t="s">
        <v>103</v>
      </c>
      <c r="V6" s="15" t="s">
        <v>104</v>
      </c>
      <c r="W6" s="15" t="s">
        <v>104</v>
      </c>
      <c r="X6" s="10"/>
      <c r="Y6" s="10"/>
    </row>
    <row r="7" customFormat="false" ht="48" hidden="false" customHeight="true" outlineLevel="0" collapsed="false">
      <c r="A7" s="12" t="s">
        <v>105</v>
      </c>
      <c r="B7" s="12" t="s">
        <v>106</v>
      </c>
      <c r="C7" s="12" t="s">
        <v>107</v>
      </c>
      <c r="D7" s="12" t="s">
        <v>108</v>
      </c>
      <c r="E7" s="12" t="s">
        <v>88</v>
      </c>
      <c r="F7" s="12" t="s">
        <v>95</v>
      </c>
      <c r="G7" s="13" t="str">
        <f aca="false">IFERROR(INDEX($U$6:$W$8,MATCH($E7,$T$6:$T$8,0),MATCH($F7,$U$5:$W$5,0)),"")</f>
        <v>Alta</v>
      </c>
      <c r="H7" s="12" t="s">
        <v>109</v>
      </c>
      <c r="I7" s="12"/>
      <c r="J7" s="12" t="s">
        <v>36</v>
      </c>
      <c r="K7" s="12" t="s">
        <v>110</v>
      </c>
      <c r="L7" s="12"/>
      <c r="M7" s="12"/>
      <c r="N7" s="12" t="s">
        <v>111</v>
      </c>
      <c r="O7" s="12"/>
      <c r="P7" s="12"/>
      <c r="Q7" s="12"/>
      <c r="R7" s="12"/>
      <c r="S7" s="10"/>
      <c r="T7" s="14" t="s">
        <v>100</v>
      </c>
      <c r="U7" s="15" t="s">
        <v>104</v>
      </c>
      <c r="V7" s="15" t="s">
        <v>112</v>
      </c>
      <c r="W7" s="15" t="s">
        <v>112</v>
      </c>
      <c r="X7" s="10"/>
      <c r="Y7" s="10"/>
    </row>
    <row r="8" customFormat="false" ht="48" hidden="false" customHeight="true" outlineLevel="0" collapsed="false">
      <c r="A8" s="12" t="s">
        <v>113</v>
      </c>
      <c r="B8" s="12" t="s">
        <v>114</v>
      </c>
      <c r="C8" s="12" t="s">
        <v>115</v>
      </c>
      <c r="D8" s="12" t="s">
        <v>87</v>
      </c>
      <c r="E8" s="12" t="s">
        <v>88</v>
      </c>
      <c r="F8" s="12" t="s">
        <v>89</v>
      </c>
      <c r="G8" s="13" t="str">
        <f aca="false">IFERROR(INDEX($U$6:$W$8,MATCH($E8,$T$6:$T$8,0),MATCH($F8,$U$5:$W$5,0)),"")</f>
        <v>Alta</v>
      </c>
      <c r="H8" s="12" t="s">
        <v>90</v>
      </c>
      <c r="I8" s="12"/>
      <c r="J8" s="12" t="s">
        <v>36</v>
      </c>
      <c r="K8" s="12" t="s">
        <v>116</v>
      </c>
      <c r="L8" s="12"/>
      <c r="M8" s="12"/>
      <c r="N8" s="12" t="s">
        <v>117</v>
      </c>
      <c r="O8" s="12"/>
      <c r="P8" s="12"/>
      <c r="Q8" s="12"/>
      <c r="R8" s="12"/>
      <c r="S8" s="10"/>
      <c r="T8" s="14" t="s">
        <v>118</v>
      </c>
      <c r="U8" s="15" t="s">
        <v>112</v>
      </c>
      <c r="V8" s="15" t="s">
        <v>119</v>
      </c>
      <c r="W8" s="15" t="s">
        <v>119</v>
      </c>
      <c r="X8" s="10"/>
      <c r="Y8" s="10"/>
    </row>
    <row r="9" customFormat="false" ht="48" hidden="false" customHeight="true" outlineLevel="0" collapsed="false">
      <c r="A9" s="12" t="s">
        <v>120</v>
      </c>
      <c r="B9" s="12" t="s">
        <v>121</v>
      </c>
      <c r="C9" s="12" t="s">
        <v>122</v>
      </c>
      <c r="D9" s="12" t="s">
        <v>123</v>
      </c>
      <c r="E9" s="12" t="s">
        <v>118</v>
      </c>
      <c r="F9" s="12" t="s">
        <v>95</v>
      </c>
      <c r="G9" s="13" t="str">
        <f aca="false">IFERROR(INDEX($U$6:$W$8,MATCH($E9,$T$6:$T$8,0),MATCH($F9,$U$5:$W$5,0)),"")</f>
        <v>Baja</v>
      </c>
      <c r="H9" s="12" t="s">
        <v>109</v>
      </c>
      <c r="I9" s="12"/>
      <c r="J9" s="12" t="s">
        <v>124</v>
      </c>
      <c r="K9" s="12" t="s">
        <v>102</v>
      </c>
      <c r="L9" s="12"/>
      <c r="M9" s="12"/>
      <c r="N9" s="12" t="s">
        <v>125</v>
      </c>
      <c r="O9" s="12"/>
      <c r="P9" s="12"/>
      <c r="Q9" s="12"/>
      <c r="R9" s="12"/>
      <c r="S9" s="10"/>
      <c r="T9" s="10"/>
      <c r="U9" s="10"/>
      <c r="V9" s="10"/>
      <c r="W9" s="10"/>
      <c r="X9" s="10"/>
      <c r="Y9" s="10"/>
    </row>
    <row r="10" customFormat="false" ht="48" hidden="false" customHeight="true" outlineLevel="0" collapsed="false">
      <c r="A10" s="8"/>
      <c r="B10" s="8"/>
      <c r="C10" s="8"/>
      <c r="D10" s="8"/>
      <c r="E10" s="8"/>
      <c r="F10" s="8"/>
      <c r="G10" s="16" t="str">
        <f aca="false">IFERROR(INDEX($U$6:$W$8,MATCH($E10,$T$6:$T$8,0),MATCH($F10,$U$5:$W$5,0)),"")</f>
        <v/>
      </c>
      <c r="H10" s="7"/>
      <c r="I10" s="8"/>
      <c r="J10" s="8"/>
      <c r="K10" s="8"/>
      <c r="L10" s="8"/>
      <c r="M10" s="8"/>
      <c r="N10" s="8"/>
      <c r="O10" s="8"/>
      <c r="P10" s="8"/>
      <c r="Q10" s="8"/>
      <c r="R10" s="8"/>
      <c r="S10" s="10"/>
      <c r="T10" s="9" t="s">
        <v>126</v>
      </c>
      <c r="U10" s="9"/>
      <c r="V10" s="9"/>
      <c r="W10" s="9"/>
      <c r="X10" s="10"/>
      <c r="Y10" s="10"/>
    </row>
    <row r="11" customFormat="false" ht="48" hidden="false" customHeight="true" outlineLevel="0" collapsed="false">
      <c r="A11" s="8"/>
      <c r="B11" s="8"/>
      <c r="C11" s="8"/>
      <c r="D11" s="8"/>
      <c r="E11" s="8"/>
      <c r="F11" s="8"/>
      <c r="G11" s="16" t="str">
        <f aca="false">IFERROR(INDEX($U$6:$W$8,MATCH($E11,$T$6:$T$8,0),MATCH($F11,$U$5:$W$5,0)),"")</f>
        <v/>
      </c>
      <c r="H11" s="7"/>
      <c r="I11" s="8"/>
      <c r="J11" s="8"/>
      <c r="K11" s="8"/>
      <c r="L11" s="8"/>
      <c r="M11" s="8"/>
      <c r="N11" s="8"/>
      <c r="O11" s="8"/>
      <c r="P11" s="8"/>
      <c r="Q11" s="8"/>
      <c r="R11" s="8"/>
      <c r="S11" s="10"/>
      <c r="T11" s="9"/>
      <c r="U11" s="9"/>
      <c r="V11" s="9"/>
      <c r="W11" s="9"/>
      <c r="X11" s="10"/>
      <c r="Y11" s="10"/>
    </row>
    <row r="12" customFormat="false" ht="15" hidden="false" customHeight="true" outlineLevel="0" collapsed="false">
      <c r="A12" s="10"/>
      <c r="B12" s="10"/>
      <c r="C12" s="10"/>
      <c r="D12" s="10"/>
      <c r="E12" s="10"/>
      <c r="F12" s="10"/>
      <c r="G12" s="10"/>
      <c r="H12" s="10"/>
      <c r="I12" s="10"/>
      <c r="J12" s="10"/>
      <c r="K12" s="10"/>
      <c r="L12" s="10"/>
      <c r="M12" s="10"/>
      <c r="N12" s="10"/>
      <c r="O12" s="10"/>
      <c r="P12" s="10"/>
      <c r="Q12" s="10"/>
      <c r="R12" s="10"/>
      <c r="S12" s="10"/>
      <c r="T12" s="9"/>
      <c r="U12" s="9"/>
      <c r="V12" s="9"/>
      <c r="W12" s="9"/>
      <c r="X12" s="10"/>
      <c r="Y12" s="10"/>
    </row>
    <row r="13" customFormat="false" ht="72" hidden="false" customHeight="true" outlineLevel="0" collapsed="false">
      <c r="A13" s="9" t="s">
        <v>127</v>
      </c>
      <c r="B13" s="9"/>
      <c r="C13" s="9"/>
      <c r="D13" s="9"/>
      <c r="E13" s="9"/>
      <c r="F13" s="9"/>
      <c r="G13" s="9"/>
      <c r="H13" s="9"/>
      <c r="I13" s="9"/>
      <c r="J13" s="9"/>
      <c r="K13" s="9"/>
      <c r="L13" s="9"/>
      <c r="M13" s="9"/>
      <c r="N13" s="9"/>
      <c r="O13" s="9"/>
      <c r="P13" s="9"/>
      <c r="Q13" s="9"/>
      <c r="R13" s="9"/>
      <c r="S13" s="10"/>
      <c r="T13" s="9"/>
      <c r="U13" s="9"/>
      <c r="V13" s="9"/>
      <c r="W13" s="9"/>
      <c r="X13" s="10"/>
      <c r="Y13" s="10"/>
    </row>
    <row r="14" customFormat="false" ht="15" hidden="false" customHeight="true" outlineLevel="0" collapsed="false">
      <c r="A14" s="10"/>
      <c r="B14" s="10"/>
      <c r="C14" s="10"/>
      <c r="D14" s="10"/>
      <c r="E14" s="10"/>
      <c r="F14" s="10"/>
      <c r="G14" s="10"/>
      <c r="H14" s="10"/>
      <c r="I14" s="10"/>
      <c r="J14" s="10"/>
      <c r="K14" s="10"/>
      <c r="L14" s="10"/>
      <c r="M14" s="10"/>
      <c r="N14" s="10"/>
      <c r="O14" s="10"/>
      <c r="P14" s="10"/>
      <c r="Q14" s="10"/>
      <c r="R14" s="10"/>
      <c r="S14" s="10"/>
      <c r="T14" s="10"/>
      <c r="U14" s="10"/>
      <c r="V14" s="10"/>
      <c r="W14" s="10"/>
      <c r="X14" s="10"/>
      <c r="Y14" s="10"/>
    </row>
    <row r="15" customFormat="false" ht="15" hidden="false" customHeight="true" outlineLevel="0" collapsed="false">
      <c r="A15" s="10"/>
      <c r="B15" s="10"/>
      <c r="C15" s="10"/>
      <c r="D15" s="10"/>
      <c r="E15" s="10"/>
      <c r="F15" s="10"/>
      <c r="G15" s="10"/>
      <c r="H15" s="10"/>
      <c r="I15" s="10"/>
      <c r="J15" s="10"/>
      <c r="K15" s="10"/>
      <c r="L15" s="10"/>
      <c r="M15" s="10"/>
      <c r="N15" s="10"/>
      <c r="O15" s="10"/>
      <c r="P15" s="10"/>
      <c r="Q15" s="10"/>
      <c r="R15" s="10"/>
      <c r="S15" s="10"/>
      <c r="T15" s="10"/>
      <c r="U15" s="10"/>
      <c r="V15" s="10"/>
      <c r="W15" s="10"/>
      <c r="X15" s="10"/>
      <c r="Y15" s="10"/>
    </row>
    <row r="16" customFormat="false" ht="15" hidden="false" customHeight="true" outlineLevel="0" collapsed="false">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customFormat="false" ht="15" hidden="false" customHeight="true" outlineLevel="0" collapsed="false">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customFormat="false" ht="15" hidden="false" customHeight="true" outlineLevel="0" collapsed="false">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customFormat="false" ht="15" hidden="false" customHeight="true" outlineLevel="0" collapsed="false">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customFormat="false" ht="15" hidden="false" customHeight="true" outlineLevel="0" collapsed="false">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sheetData>
  <mergeCells count="5">
    <mergeCell ref="A1:R1"/>
    <mergeCell ref="A2:R2"/>
    <mergeCell ref="T4:W4"/>
    <mergeCell ref="T10:W13"/>
    <mergeCell ref="A13:R13"/>
  </mergeCells>
  <dataValidations count="5">
    <dataValidation allowBlank="true" errorStyle="stop" operator="between" showDropDown="false" showErrorMessage="false" showInputMessage="false" sqref="D5:D11" type="list">
      <formula1>"Urgente ahora,Tiene fecha límite real,Puede esperar y priorizarse,Es mantenimiento o mejora interna"</formula1>
      <formula2>0</formula2>
    </dataValidation>
    <dataValidation allowBlank="true" errorStyle="stop" operator="between" showDropDown="false" showErrorMessage="false" showInputMessage="false" sqref="E5:E11" type="list">
      <formula1>"Alto,Medio,Bajo"</formula1>
      <formula2>0</formula2>
    </dataValidation>
    <dataValidation allowBlank="true" errorStyle="stop" operator="between" showDropDown="false" showErrorMessage="false" showInputMessage="false" sqref="F5:F11" type="list">
      <formula1>"Pequeño,Mediano,Grande"</formula1>
      <formula2>0</formula2>
    </dataValidation>
    <dataValidation allowBlank="true" errorStyle="stop" operator="between" showDropDown="false" showErrorMessage="false" showInputMessage="false" sqref="J5:J11" type="list">
      <formula1>"No iniciado,En curso,Completado,Bloqueado,Cancelado"</formula1>
      <formula2>0</formula2>
    </dataValidation>
    <dataValidation allowBlank="true" errorStyle="stop" operator="between" showDropDown="false" showErrorMessage="false" showInputMessage="false" sqref="K5:K11" type="list">
      <formula1>"Por iniciar,En desarrollo,En pruebas de calidad,En producción (ventana de observación),En producción (estable)"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30"/>
    <col collapsed="false" customWidth="true" hidden="false" outlineLevel="0" max="4" min="4" style="1" width="22"/>
    <col collapsed="false" customWidth="true" hidden="false" outlineLevel="0" max="5" min="5" style="1" width="20"/>
    <col collapsed="false" customWidth="true" hidden="false" outlineLevel="0" max="6" min="6" style="1" width="4"/>
    <col collapsed="false" customWidth="true" hidden="false" outlineLevel="0" max="7" min="7" style="1" width="20"/>
    <col collapsed="false" customWidth="true" hidden="false" outlineLevel="0" max="8" min="8" style="1" width="12"/>
    <col collapsed="false" customWidth="true" hidden="false" outlineLevel="0" max="9" min="9" style="1" width="4"/>
    <col collapsed="false" customWidth="true" hidden="false" outlineLevel="0" max="10" min="10" style="1" width="30"/>
    <col collapsed="false" customWidth="true" hidden="false" outlineLevel="0" max="11" min="11" style="1" width="12"/>
  </cols>
  <sheetData>
    <row r="1" customFormat="false" ht="19.5" hidden="false" customHeight="true" outlineLevel="0" collapsed="false">
      <c r="A1" s="2" t="s">
        <v>128</v>
      </c>
      <c r="B1" s="2"/>
      <c r="C1" s="2"/>
      <c r="D1" s="2"/>
      <c r="E1" s="2"/>
      <c r="F1" s="2"/>
      <c r="G1" s="2"/>
      <c r="H1" s="2"/>
      <c r="I1" s="2"/>
      <c r="J1" s="2"/>
      <c r="K1" s="2"/>
    </row>
    <row r="2" customFormat="false" ht="15" hidden="false" customHeight="true" outlineLevel="0" collapsed="false">
      <c r="A2" s="3" t="s">
        <v>129</v>
      </c>
      <c r="B2" s="3"/>
      <c r="C2" s="3"/>
      <c r="D2" s="3"/>
      <c r="E2" s="3"/>
      <c r="F2" s="3"/>
      <c r="G2" s="3"/>
      <c r="H2" s="3"/>
      <c r="I2" s="3"/>
      <c r="J2" s="3"/>
      <c r="K2" s="3"/>
    </row>
    <row r="4" customFormat="false" ht="15" hidden="false" customHeight="true" outlineLevel="0" collapsed="false">
      <c r="A4" s="11" t="s">
        <v>130</v>
      </c>
      <c r="B4" s="11"/>
      <c r="D4" s="11" t="s">
        <v>131</v>
      </c>
      <c r="E4" s="11"/>
    </row>
    <row r="5" customFormat="false" ht="15" hidden="false" customHeight="true" outlineLevel="0" collapsed="false">
      <c r="A5" s="17" t="n">
        <f aca="false">COUNTIF('Hoja de ruta'!F5:F14,"Completado")/COUNTA('Hoja de ruta'!B5:B14)</f>
        <v>0</v>
      </c>
      <c r="B5" s="17"/>
      <c r="D5" s="18" t="n">
        <f aca="false">COUNTA('Seguimiento de proyectos'!A5:A11)</f>
        <v>5</v>
      </c>
      <c r="E5" s="18"/>
    </row>
    <row r="6" customFormat="false" ht="15" hidden="false" customHeight="true" outlineLevel="0" collapsed="false">
      <c r="A6" s="17"/>
      <c r="B6" s="17"/>
      <c r="D6" s="18"/>
      <c r="E6" s="18"/>
    </row>
    <row r="8" customFormat="false" ht="15" hidden="false" customHeight="true" outlineLevel="0" collapsed="false">
      <c r="A8" s="19" t="s">
        <v>132</v>
      </c>
      <c r="B8" s="19" t="s">
        <v>133</v>
      </c>
      <c r="D8" s="19" t="s">
        <v>75</v>
      </c>
      <c r="E8" s="19" t="s">
        <v>134</v>
      </c>
      <c r="G8" s="19" t="s">
        <v>135</v>
      </c>
      <c r="H8" s="19" t="s">
        <v>136</v>
      </c>
      <c r="J8" s="19" t="s">
        <v>77</v>
      </c>
      <c r="K8" s="19" t="s">
        <v>136</v>
      </c>
    </row>
    <row r="9" customFormat="false" ht="15" hidden="false" customHeight="true" outlineLevel="0" collapsed="false">
      <c r="A9" s="20" t="s">
        <v>137</v>
      </c>
      <c r="B9" s="21" t="n">
        <f aca="false">COUNTIF('Hoja de ruta'!F5:F14,"Completado")</f>
        <v>0</v>
      </c>
      <c r="D9" s="20" t="s">
        <v>103</v>
      </c>
      <c r="E9" s="21" t="n">
        <f aca="false">COUNTIF('Seguimiento de proyectos'!$G$5:$G$11,"Muy alta")</f>
        <v>0</v>
      </c>
      <c r="G9" s="22" t="s">
        <v>137</v>
      </c>
      <c r="H9" s="23" t="n">
        <f aca="false">COUNTIF('Seguimiento de proyectos'!$J$5:$J$11,"Completado")</f>
        <v>0</v>
      </c>
      <c r="J9" s="22" t="s">
        <v>102</v>
      </c>
      <c r="K9" s="23" t="n">
        <f aca="false">COUNTIF('Seguimiento de proyectos'!$K$5:$K$11,"Por iniciar")</f>
        <v>2</v>
      </c>
    </row>
    <row r="10" customFormat="false" ht="15" hidden="false" customHeight="true" outlineLevel="0" collapsed="false">
      <c r="A10" s="20" t="s">
        <v>36</v>
      </c>
      <c r="B10" s="21" t="n">
        <f aca="false">COUNTIF('Hoja de ruta'!F5:F14,"En curso")</f>
        <v>1</v>
      </c>
      <c r="D10" s="20" t="s">
        <v>104</v>
      </c>
      <c r="E10" s="21" t="n">
        <f aca="false">COUNTIF('Seguimiento de proyectos'!$G$5:$G$11,"Alta")</f>
        <v>4</v>
      </c>
      <c r="G10" s="22" t="s">
        <v>36</v>
      </c>
      <c r="H10" s="23" t="n">
        <f aca="false">COUNTIF('Seguimiento de proyectos'!$J$5:$J$11,"En curso")</f>
        <v>3</v>
      </c>
      <c r="J10" s="22" t="s">
        <v>91</v>
      </c>
      <c r="K10" s="23" t="n">
        <f aca="false">COUNTIF('Seguimiento de proyectos'!$K$5:$K$11,"En desarrollo")</f>
        <v>1</v>
      </c>
    </row>
    <row r="11" customFormat="false" ht="15" hidden="false" customHeight="true" outlineLevel="0" collapsed="false">
      <c r="A11" s="20" t="s">
        <v>124</v>
      </c>
      <c r="B11" s="21" t="n">
        <f aca="false">COUNTIF('Hoja de ruta'!F5:F14,"Bloqueado")</f>
        <v>0</v>
      </c>
      <c r="D11" s="20" t="s">
        <v>112</v>
      </c>
      <c r="E11" s="21" t="n">
        <f aca="false">COUNTIF('Seguimiento de proyectos'!$G$5:$G$11,"Media")</f>
        <v>0</v>
      </c>
      <c r="G11" s="22" t="s">
        <v>124</v>
      </c>
      <c r="H11" s="23" t="n">
        <f aca="false">COUNTIF('Seguimiento de proyectos'!$J$5:$J$11,"Bloqueado")</f>
        <v>1</v>
      </c>
      <c r="J11" s="22" t="s">
        <v>110</v>
      </c>
      <c r="K11" s="23" t="n">
        <f aca="false">COUNTIF('Seguimiento de proyectos'!$K$5:$K$11,"En pruebas de calidad")</f>
        <v>1</v>
      </c>
    </row>
    <row r="12" customFormat="false" ht="15" hidden="false" customHeight="true" outlineLevel="0" collapsed="false">
      <c r="A12" s="20" t="s">
        <v>41</v>
      </c>
      <c r="B12" s="21" t="n">
        <f aca="false">COUNTIF('Hoja de ruta'!F5:F14,"No iniciado")</f>
        <v>9</v>
      </c>
      <c r="D12" s="20" t="s">
        <v>119</v>
      </c>
      <c r="E12" s="21" t="n">
        <f aca="false">COUNTIF('Seguimiento de proyectos'!$G$5:$G$11,"Baja")</f>
        <v>1</v>
      </c>
      <c r="G12" s="22" t="s">
        <v>41</v>
      </c>
      <c r="H12" s="23" t="n">
        <f aca="false">COUNTIF('Seguimiento de proyectos'!$J$5:$J$11,"No iniciado")</f>
        <v>1</v>
      </c>
      <c r="J12" s="22" t="s">
        <v>116</v>
      </c>
      <c r="K12" s="23" t="n">
        <f aca="false">COUNTIF('Seguimiento de proyectos'!$K$5:$K$11,"En producción (ventana de observación)")</f>
        <v>1</v>
      </c>
    </row>
    <row r="13" customFormat="false" ht="15" hidden="false" customHeight="true" outlineLevel="0" collapsed="false">
      <c r="G13" s="22" t="s">
        <v>138</v>
      </c>
      <c r="H13" s="23" t="n">
        <f aca="false">COUNTIF('Seguimiento de proyectos'!$J$5:$J$11,"Cancelado")</f>
        <v>0</v>
      </c>
      <c r="J13" s="22" t="s">
        <v>139</v>
      </c>
      <c r="K13" s="23" t="n">
        <f aca="false">COUNTIF('Seguimiento de proyectos'!$K$5:$K$11,"En producción (estable)")</f>
        <v>0</v>
      </c>
    </row>
    <row r="16" customFormat="false" ht="15" hidden="false" customHeight="true" outlineLevel="0" collapsed="false">
      <c r="A16" s="24" t="s">
        <v>140</v>
      </c>
      <c r="B16" s="24"/>
      <c r="C16" s="24"/>
      <c r="D16" s="24"/>
      <c r="E16" s="24"/>
      <c r="F16" s="24"/>
      <c r="G16" s="24"/>
      <c r="H16" s="24"/>
      <c r="I16" s="24"/>
      <c r="J16" s="24"/>
      <c r="K16" s="24"/>
    </row>
    <row r="17" customFormat="false" ht="15" hidden="false" customHeight="true" outlineLevel="0" collapsed="false">
      <c r="A17" s="9" t="s">
        <v>141</v>
      </c>
      <c r="B17" s="9"/>
      <c r="C17" s="9"/>
      <c r="D17" s="9"/>
      <c r="E17" s="9"/>
      <c r="F17" s="9"/>
      <c r="G17" s="9"/>
      <c r="H17" s="9"/>
      <c r="I17" s="9"/>
      <c r="J17" s="9"/>
      <c r="K17" s="9"/>
    </row>
    <row r="19" customFormat="false" ht="34.5" hidden="false" customHeight="true" outlineLevel="0" collapsed="false">
      <c r="A19" s="19" t="s">
        <v>142</v>
      </c>
      <c r="B19" s="25" t="n">
        <v>2</v>
      </c>
      <c r="C19" s="26" t="s">
        <v>143</v>
      </c>
    </row>
    <row r="21" customFormat="false" ht="15" hidden="false" customHeight="true" outlineLevel="0" collapsed="false">
      <c r="A21" s="19" t="s">
        <v>144</v>
      </c>
    </row>
    <row r="22" customFormat="false" ht="23.25" hidden="false" customHeight="true" outlineLevel="0" collapsed="false">
      <c r="A22" s="27" t="s">
        <v>145</v>
      </c>
      <c r="B22" s="28" t="str">
        <f aca="false">IFERROR(SUMPRODUCT(('Seguimiento de proyectos'!$J$5:$J$11="Completado")*('Seguimiento de proyectos'!$P$5:$P$11&lt;&gt;"")*('Seguimiento de proyectos'!$L$5:$L$11&lt;&gt;"")*('Seguimiento de proyectos'!$P$5:$P$11-'Seguimiento de proyectos'!$L$5:$L$11))/SUMPRODUCT(('Seguimiento de proyectos'!$J$5:$J$11="Completado")*('Seguimiento de proyectos'!$P$5:$P$11&lt;&gt;"")*('Seguimiento de proyectos'!$L$5:$L$11&lt;&gt;"")),"")</f>
        <v/>
      </c>
      <c r="C22" s="26" t="s">
        <v>146</v>
      </c>
    </row>
    <row r="23" customFormat="false" ht="23.25" hidden="false" customHeight="true" outlineLevel="0" collapsed="false">
      <c r="A23" s="27" t="s">
        <v>147</v>
      </c>
      <c r="B23" s="28" t="str">
        <f aca="false">IFERROR(SUMPRODUCT(('Seguimiento de proyectos'!$J$5:$J$11="Completado")*('Seguimiento de proyectos'!$P$5:$P$11&lt;&gt;"")*('Seguimiento de proyectos'!$O$5:$O$11&lt;&gt;"")*('Seguimiento de proyectos'!$P$5:$P$11-'Seguimiento de proyectos'!$O$5:$O$11))/SUMPRODUCT(('Seguimiento de proyectos'!$J$5:$J$11="Completado")*('Seguimiento de proyectos'!$P$5:$P$11&lt;&gt;"")*('Seguimiento de proyectos'!$O$5:$O$11&lt;&gt;"")),"")</f>
        <v/>
      </c>
      <c r="C23" s="26" t="s">
        <v>148</v>
      </c>
    </row>
    <row r="24" customFormat="false" ht="23.25" hidden="false" customHeight="true" outlineLevel="0" collapsed="false">
      <c r="A24" s="27" t="s">
        <v>149</v>
      </c>
      <c r="B24" s="29" t="str">
        <f aca="false">IFERROR(B23/B22*100,"")</f>
        <v/>
      </c>
      <c r="C24" s="26" t="s">
        <v>150</v>
      </c>
    </row>
    <row r="25" customFormat="false" ht="34.5" hidden="false" customHeight="true" outlineLevel="0" collapsed="false">
      <c r="A25" s="27" t="s">
        <v>151</v>
      </c>
      <c r="B25" s="29" t="str">
        <f aca="false">IFERROR(SUMPRODUCT(('Seguimiento de proyectos'!$D$5:$D$11="Tiene fecha límite real")*('Seguimiento de proyectos'!$J$5:$J$11="Completado")*('Seguimiento de proyectos'!$P$5:$P$11&lt;&gt;"")*('Seguimiento de proyectos'!$M$5:$M$11&lt;&gt;"")*('Seguimiento de proyectos'!$P$5:$P$11&lt;='Seguimiento de proyectos'!$M$5:$M$11))/SUMPRODUCT(('Seguimiento de proyectos'!$D$5:$D$11="Tiene fecha límite real")*('Seguimiento de proyectos'!$J$5:$J$11="Completado")*('Seguimiento de proyectos'!$P$5:$P$11&lt;&gt;"")*('Seguimiento de proyectos'!$M$5:$M$11&lt;&gt;""))*100,"")</f>
        <v/>
      </c>
      <c r="C25" s="26" t="s">
        <v>152</v>
      </c>
    </row>
    <row r="27" customFormat="false" ht="15" hidden="false" customHeight="true" outlineLevel="0" collapsed="false">
      <c r="A27" s="9" t="s">
        <v>153</v>
      </c>
      <c r="B27" s="9"/>
      <c r="C27" s="9"/>
      <c r="D27" s="9"/>
      <c r="E27" s="9"/>
      <c r="F27" s="9"/>
      <c r="G27" s="9"/>
      <c r="H27" s="9"/>
      <c r="I27" s="9"/>
      <c r="J27" s="9"/>
      <c r="K27" s="9"/>
    </row>
    <row r="29" customFormat="false" ht="15" hidden="false" customHeight="true" outlineLevel="0" collapsed="false">
      <c r="A29" s="11" t="s">
        <v>154</v>
      </c>
      <c r="B29" s="11"/>
      <c r="C29" s="11"/>
      <c r="D29" s="11"/>
      <c r="E29" s="11"/>
      <c r="F29" s="11"/>
      <c r="G29" s="11"/>
      <c r="H29" s="11"/>
      <c r="I29" s="11"/>
      <c r="J29" s="11"/>
      <c r="K29" s="11"/>
    </row>
    <row r="30" customFormat="false" ht="26.25" hidden="false" customHeight="true" outlineLevel="0" collapsed="false">
      <c r="A30" s="30" t="s">
        <v>155</v>
      </c>
      <c r="B30" s="31" t="s">
        <v>156</v>
      </c>
      <c r="C30" s="31" t="s">
        <v>157</v>
      </c>
    </row>
    <row r="31" customFormat="false" ht="15" hidden="false" customHeight="true" outlineLevel="0" collapsed="false">
      <c r="A31" s="32" t="s">
        <v>158</v>
      </c>
      <c r="B31" s="21" t="n">
        <f aca="false">IF($A31="",0,IFERROR(COUNTIFS('Seguimiento de proyectos'!$Q$5:$Q$11,$A31,'Seguimiento de proyectos'!$J$5:$J$11,"En curso")+COUNTIFS('Seguimiento de proyectos'!$R$5:$R$11,$A31,'Seguimiento de proyectos'!$J$5:$J$11,"En curso"),0))</f>
        <v>0</v>
      </c>
      <c r="C31" s="21" t="str">
        <f aca="false">IF($A31="","",IF(B31&lt;=$B$19,"Sí","No"))</f>
        <v>Sí</v>
      </c>
    </row>
    <row r="32" customFormat="false" ht="15" hidden="false" customHeight="true" outlineLevel="0" collapsed="false">
      <c r="A32" s="32" t="s">
        <v>159</v>
      </c>
      <c r="B32" s="21" t="n">
        <f aca="false">IF($A32="",0,IFERROR(COUNTIFS('Seguimiento de proyectos'!$Q$5:$Q$11,$A32,'Seguimiento de proyectos'!$J$5:$J$11,"En curso")+COUNTIFS('Seguimiento de proyectos'!$R$5:$R$11,$A32,'Seguimiento de proyectos'!$J$5:$J$11,"En curso"),0))</f>
        <v>0</v>
      </c>
      <c r="C32" s="21" t="str">
        <f aca="false">IF($A32="","",IF(B32&lt;=$B$19,"Sí","No"))</f>
        <v>Sí</v>
      </c>
    </row>
    <row r="33" customFormat="false" ht="15" hidden="false" customHeight="true" outlineLevel="0" collapsed="false">
      <c r="A33" s="33"/>
      <c r="B33" s="21" t="n">
        <f aca="false">IF($A33="",0,IFERROR(COUNTIFS('Seguimiento de proyectos'!$Q$5:$Q$11,$A33,'Seguimiento de proyectos'!$J$5:$J$11,"En curso")+COUNTIFS('Seguimiento de proyectos'!$R$5:$R$11,$A33,'Seguimiento de proyectos'!$J$5:$J$11,"En curso"),0))</f>
        <v>0</v>
      </c>
      <c r="C33" s="21" t="str">
        <f aca="false">IF($A33="","",IF(B33&lt;=$B$19,"Sí","No"))</f>
        <v/>
      </c>
    </row>
    <row r="34" customFormat="false" ht="15" hidden="false" customHeight="true" outlineLevel="0" collapsed="false">
      <c r="A34" s="33"/>
      <c r="B34" s="21" t="n">
        <f aca="false">IF($A34="",0,IFERROR(COUNTIFS('Seguimiento de proyectos'!$Q$5:$Q$11,$A34,'Seguimiento de proyectos'!$J$5:$J$11,"En curso")+COUNTIFS('Seguimiento de proyectos'!$R$5:$R$11,$A34,'Seguimiento de proyectos'!$J$5:$J$11,"En curso"),0))</f>
        <v>0</v>
      </c>
      <c r="C34" s="21" t="str">
        <f aca="false">IF($A34="","",IF(B34&lt;=$B$19,"Sí","No"))</f>
        <v/>
      </c>
    </row>
    <row r="35" customFormat="false" ht="15" hidden="false" customHeight="true" outlineLevel="0" collapsed="false">
      <c r="A35" s="33"/>
      <c r="B35" s="21" t="n">
        <f aca="false">IF($A35="",0,IFERROR(COUNTIFS('Seguimiento de proyectos'!$Q$5:$Q$11,$A35,'Seguimiento de proyectos'!$J$5:$J$11,"En curso")+COUNTIFS('Seguimiento de proyectos'!$R$5:$R$11,$A35,'Seguimiento de proyectos'!$J$5:$J$11,"En curso"),0))</f>
        <v>0</v>
      </c>
      <c r="C35" s="21" t="str">
        <f aca="false">IF($A35="","",IF(B35&lt;=$B$19,"Sí","No"))</f>
        <v/>
      </c>
    </row>
    <row r="36" customFormat="false" ht="15" hidden="false" customHeight="true" outlineLevel="0" collapsed="false">
      <c r="A36" s="33"/>
      <c r="B36" s="21" t="n">
        <f aca="false">IF($A36="",0,IFERROR(COUNTIFS('Seguimiento de proyectos'!$Q$5:$Q$11,$A36,'Seguimiento de proyectos'!$J$5:$J$11,"En curso")+COUNTIFS('Seguimiento de proyectos'!$R$5:$R$11,$A36,'Seguimiento de proyectos'!$J$5:$J$11,"En curso"),0))</f>
        <v>0</v>
      </c>
      <c r="C36" s="21" t="str">
        <f aca="false">IF($A36="","",IF(B36&lt;=$B$19,"Sí","No"))</f>
        <v/>
      </c>
    </row>
    <row r="37" customFormat="false" ht="15" hidden="false" customHeight="true" outlineLevel="0" collapsed="false">
      <c r="A37" s="33"/>
      <c r="B37" s="21" t="n">
        <f aca="false">IF($A37="",0,IFERROR(COUNTIFS('Seguimiento de proyectos'!$Q$5:$Q$11,$A37,'Seguimiento de proyectos'!$J$5:$J$11,"En curso")+COUNTIFS('Seguimiento de proyectos'!$R$5:$R$11,$A37,'Seguimiento de proyectos'!$J$5:$J$11,"En curso"),0))</f>
        <v>0</v>
      </c>
      <c r="C37" s="21" t="str">
        <f aca="false">IF($A37="","",IF(B37&lt;=$B$19,"Sí","No"))</f>
        <v/>
      </c>
    </row>
    <row r="38" customFormat="false" ht="15" hidden="false" customHeight="true" outlineLevel="0" collapsed="false">
      <c r="A38" s="33"/>
      <c r="B38" s="21" t="n">
        <f aca="false">IF($A38="",0,IFERROR(COUNTIFS('Seguimiento de proyectos'!$Q$5:$Q$11,$A38,'Seguimiento de proyectos'!$J$5:$J$11,"En curso")+COUNTIFS('Seguimiento de proyectos'!$R$5:$R$11,$A38,'Seguimiento de proyectos'!$J$5:$J$11,"En curso"),0))</f>
        <v>0</v>
      </c>
      <c r="C38" s="21" t="str">
        <f aca="false">IF($A38="","",IF(B38&lt;=$B$19,"Sí","No"))</f>
        <v/>
      </c>
    </row>
    <row r="40" customFormat="false" ht="15" hidden="false" customHeight="true" outlineLevel="0" collapsed="false">
      <c r="A40" s="19" t="s">
        <v>160</v>
      </c>
      <c r="B40" s="34" t="n">
        <f aca="false">SUM($B$31:$B$38)</f>
        <v>0</v>
      </c>
    </row>
    <row r="41" customFormat="false" ht="23.25" hidden="false" customHeight="true" outlineLevel="0" collapsed="false">
      <c r="A41" s="27" t="s">
        <v>161</v>
      </c>
      <c r="B41" s="29" t="str">
        <f aca="false">IFERROR((LARGE($B$31:$B$38,1)+LARGE($B$31:$B$38,2))/SUM($B$31:$B$38)*100,"")</f>
        <v/>
      </c>
      <c r="C41" s="26" t="s">
        <v>162</v>
      </c>
    </row>
    <row r="42" customFormat="false" ht="23.25" hidden="false" customHeight="true" outlineLevel="0" collapsed="false">
      <c r="A42" s="27" t="s">
        <v>163</v>
      </c>
      <c r="B42" s="29" t="str">
        <f aca="false">IFERROR(SUMPRODUCT(($B$31:$B$38&gt;0)*($B$31:$B$38&lt;=$B$19))/SUMPRODUCT(($B$31:$B$38&gt;0)*1)*100,"")</f>
        <v/>
      </c>
      <c r="C42" s="26" t="s">
        <v>164</v>
      </c>
    </row>
    <row r="44" customFormat="false" ht="43.5" hidden="false" customHeight="true" outlineLevel="0" collapsed="false">
      <c r="A44" s="9" t="s">
        <v>165</v>
      </c>
      <c r="B44" s="9"/>
      <c r="C44" s="9"/>
      <c r="D44" s="9"/>
      <c r="E44" s="9"/>
      <c r="F44" s="9"/>
      <c r="G44" s="9"/>
      <c r="H44" s="9"/>
      <c r="I44" s="9"/>
      <c r="J44" s="9"/>
      <c r="K44" s="9"/>
    </row>
  </sheetData>
  <mergeCells count="11">
    <mergeCell ref="A1:K1"/>
    <mergeCell ref="A2:K2"/>
    <mergeCell ref="A4:B4"/>
    <mergeCell ref="D4:E4"/>
    <mergeCell ref="A5:B6"/>
    <mergeCell ref="D5:E6"/>
    <mergeCell ref="A16:K16"/>
    <mergeCell ref="A17:K17"/>
    <mergeCell ref="A27:K27"/>
    <mergeCell ref="A29:K29"/>
    <mergeCell ref="A44:K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4" min="3" style="1" width="20"/>
    <col collapsed="false" customWidth="true" hidden="false" outlineLevel="0" max="5" min="5" style="1" width="46"/>
  </cols>
  <sheetData>
    <row r="1" customFormat="false" ht="21.75" hidden="false" customHeight="true" outlineLevel="0" collapsed="false">
      <c r="A1" s="2" t="s">
        <v>166</v>
      </c>
      <c r="B1" s="2"/>
      <c r="C1" s="2"/>
      <c r="D1" s="2"/>
      <c r="E1" s="2"/>
    </row>
    <row r="2" customFormat="false" ht="15.75" hidden="false" customHeight="true" outlineLevel="0" collapsed="false">
      <c r="A2" s="3" t="s">
        <v>167</v>
      </c>
      <c r="B2" s="3"/>
      <c r="C2" s="3"/>
      <c r="D2" s="3"/>
      <c r="E2" s="3"/>
    </row>
    <row r="4" customFormat="false" ht="15" hidden="false" customHeight="true" outlineLevel="0" collapsed="false">
      <c r="A4" s="6" t="s">
        <v>168</v>
      </c>
      <c r="B4" s="6" t="s">
        <v>169</v>
      </c>
      <c r="C4" s="6" t="s">
        <v>170</v>
      </c>
      <c r="D4" s="6" t="s">
        <v>171</v>
      </c>
      <c r="E4" s="6" t="s">
        <v>32</v>
      </c>
    </row>
    <row r="5" customFormat="false" ht="45.75" hidden="false" customHeight="true" outlineLevel="0" collapsed="false">
      <c r="A5" s="7" t="s">
        <v>172</v>
      </c>
      <c r="B5" s="7" t="s">
        <v>173</v>
      </c>
      <c r="C5" s="8"/>
      <c r="D5" s="8"/>
      <c r="E5" s="7" t="s">
        <v>174</v>
      </c>
    </row>
    <row r="6" customFormat="false" ht="45.75" hidden="false" customHeight="true" outlineLevel="0" collapsed="false">
      <c r="A6" s="7" t="s">
        <v>175</v>
      </c>
      <c r="B6" s="7" t="s">
        <v>173</v>
      </c>
      <c r="C6" s="8"/>
      <c r="D6" s="8"/>
      <c r="E6" s="7" t="s">
        <v>176</v>
      </c>
    </row>
    <row r="7" customFormat="false" ht="45.75" hidden="false" customHeight="true" outlineLevel="0" collapsed="false">
      <c r="A7" s="7" t="s">
        <v>177</v>
      </c>
      <c r="B7" s="7" t="s">
        <v>173</v>
      </c>
      <c r="C7" s="8"/>
      <c r="D7" s="8"/>
      <c r="E7" s="7" t="s">
        <v>178</v>
      </c>
    </row>
    <row r="8" customFormat="false" ht="45.75" hidden="false" customHeight="true" outlineLevel="0" collapsed="false">
      <c r="A8" s="7" t="s">
        <v>179</v>
      </c>
      <c r="B8" s="7" t="s">
        <v>180</v>
      </c>
      <c r="C8" s="8"/>
      <c r="D8" s="8"/>
      <c r="E8" s="7" t="s">
        <v>181</v>
      </c>
    </row>
    <row r="9" customFormat="false" ht="45.75" hidden="false" customHeight="true" outlineLevel="0" collapsed="false">
      <c r="A9" s="7" t="s">
        <v>182</v>
      </c>
      <c r="B9" s="7" t="s">
        <v>90</v>
      </c>
      <c r="C9" s="8"/>
      <c r="D9" s="8"/>
      <c r="E9" s="7"/>
    </row>
    <row r="10" customFormat="false" ht="45.75" hidden="false" customHeight="true" outlineLevel="0" collapsed="false">
      <c r="A10" s="7" t="s">
        <v>182</v>
      </c>
      <c r="B10" s="7" t="s">
        <v>101</v>
      </c>
      <c r="C10" s="8"/>
      <c r="D10" s="8"/>
      <c r="E10" s="7"/>
    </row>
    <row r="11" customFormat="false" ht="45.75" hidden="false" customHeight="true" outlineLevel="0" collapsed="false">
      <c r="A11" s="7" t="s">
        <v>182</v>
      </c>
      <c r="B11" s="7" t="s">
        <v>109</v>
      </c>
      <c r="C11" s="8"/>
      <c r="D11" s="8"/>
      <c r="E11" s="7"/>
    </row>
    <row r="12" customFormat="false" ht="45.75" hidden="false" customHeight="true" outlineLevel="0" collapsed="false">
      <c r="A12" s="7" t="s">
        <v>183</v>
      </c>
      <c r="B12" s="7" t="s">
        <v>173</v>
      </c>
      <c r="C12" s="8"/>
      <c r="D12" s="8"/>
      <c r="E12" s="7" t="s">
        <v>184</v>
      </c>
    </row>
    <row r="13" customFormat="false" ht="45.75" hidden="false" customHeight="true" outlineLevel="0" collapsed="false">
      <c r="A13" s="7" t="s">
        <v>185</v>
      </c>
      <c r="B13" s="7" t="s">
        <v>173</v>
      </c>
      <c r="C13" s="8"/>
      <c r="D13" s="8"/>
      <c r="E13" s="7" t="s">
        <v>186</v>
      </c>
    </row>
    <row r="15" customFormat="false" ht="57.75" hidden="false" customHeight="true" outlineLevel="0" collapsed="false">
      <c r="A15" s="9" t="s">
        <v>187</v>
      </c>
      <c r="B15" s="9"/>
      <c r="C15" s="9"/>
      <c r="D15" s="9"/>
      <c r="E15" s="9"/>
    </row>
  </sheetData>
  <mergeCells count="3">
    <mergeCell ref="A1:E1"/>
    <mergeCell ref="A2:E2"/>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2026-08-18T19:45:10Z</dcterms:created>
  <dc:creator>openpyxl</dc:creator>
  <dc:description/>
  <dc:language>en-US</dc:language>
  <cp:lastModifiedBy/>
  <dcterms:modified xsi:type="dcterms:W3CDTF">2026-08-18T22:39:12Z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