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ómo usar" sheetId="1" state="visible" r:id="rId3"/>
    <sheet name="Hoja de ruta" sheetId="2" state="visible" r:id="rId4"/>
    <sheet name="Seguimiento de proyectos" sheetId="3" state="visible" r:id="rId5"/>
    <sheet name="Resum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<sst xmlns="http://schemas.openxmlformats.org/spreadsheetml/2006/main" count="215" uniqueCount="162">
  <si>
    <t xml:space="preserve">Plantilla de implementación por prioridades — cómo usarla</t>
  </si>
  <si>
    <t xml:space="preserve">Pensada para que cualquier equipo la tome y la adapte, sin depender de una herramienta específica.</t>
  </si>
  <si>
    <t xml:space="preserve">Qué es</t>
  </si>
  <si>
    <t xml:space="preserve">Una plantilla de dos partes: una hoja de ruta general (10 pasos, de diagnóstico a piloto) y una hoja de seguimiento de proyectos — la parte más densa, porque es donde entra cada solicitud real del negocio y se decide qué se hace primero.</t>
  </si>
  <si>
    <t xml:space="preserve">Para quién</t>
  </si>
  <si>
    <t xml:space="preserve">Dueños de negocio, líderes de equipo y cualquier persona que necesite ver en un solo lugar qué se está trabajando, por qué, y en qué orden — sin lenguaje técnico.</t>
  </si>
  <si>
    <t xml:space="preserve">Hoja 'Hoja de ruta'</t>
  </si>
  <si>
    <t xml:space="preserve">Los 10 pasos generales de instalar el modelo de trabajo. Ya tiene un ejemplo real en el paso 0 (resaltado en azul claro) para mostrar cómo se ve un paso avanzando.</t>
  </si>
  <si>
    <t xml:space="preserve">Hoja 'Seguimiento de proyectos'</t>
  </si>
  <si>
    <t xml:space="preserve">El registro vivo de cada proyecto o solicitud: de dónde viene, qué tan urgente es, qué tan grande es, y una prioridad que se calcula sola combinando esas dos cosas — no a criterio de quién pide más fuerte. Además responde tres preguntas de negocio para cada proyecto: en qué estado va (columna 'Estado'), en qué momento del ciclo está (columna 'Fase de desarrollo': por iniciar, en desarrollo, en pruebas de calidad, en producción en observación, o en producción estable), y para cuándo se espera (columnas de fecha estimada de inicio y de entrega). Tres columnas adicionales — 'Fecha real de inicio de desarrollo', 'Fecha real de cierre' y 'Responsable principal' — alimentan los indicadores automáticos de la hoja 'Resumen'; se llenan a medida que un ítem avanza, no al crear la fila. Tiene 5 filas de ejemplo (resaltadas en azul claro) y 2 filas vacías listas para usar.</t>
  </si>
  <si>
    <t xml:space="preserve">Hoja 'Resumen'</t>
  </si>
  <si>
    <t xml:space="preserve">Un panel visual que se actualiza solo a partir de las otras dos hojas — no se edita directamente. Además del avance general, calcula los indicadores de la sección 9 del framework KPS: Lead time, Cycle time, Eficiencia de flujo, % de entrega a tiempo, Índice de concentración y % de cumplimiento de WIP por persona.</t>
  </si>
  <si>
    <t xml:space="preserve">Cómo se calcula la prioridad</t>
  </si>
  <si>
    <t xml:space="preserve">Se combinan dos preguntas simples: '¿qué tan grave es si esto se atrasa una semana?' (impacto) y '¿qué tan grande es el esfuerzo?' (tamaño). La combinación da la prioridad automáticamente, según la matriz que está al lado de la tabla en la hoja 'Seguimiento de proyectos' (columnas S a V). Impacto alto + esfuerzo pequeño siempre gana — es la forma más simple de evitar que lo urgente-pero-fácil se quede esperando detrás de algo grande y menos importante.</t>
  </si>
  <si>
    <t xml:space="preserve">Indicadores automáticos (sección 9 del framework)</t>
  </si>
  <si>
    <t xml:space="preserve">Lead time y Cycle time se calculan solos a partir de 'Fecha estimada de inicio', 'Fecha real de inicio de desarrollo' y 'Fecha real de cierre' de cada proyecto Completado. El Índice de concentración y el % de cumplimiento de WIP salen de contar, por persona, cuántos ítems tiene 'En curso' en la columna 'Responsable principal' — escribe ahí el nombre de cada persona del equipo en la tabla de la hoja 'Resumen' para que el cálculo funcione.</t>
  </si>
  <si>
    <t xml:space="preserve">Qué editar</t>
  </si>
  <si>
    <t xml:space="preserve">Las celdas en amarillo son las que se completan para cada paso o proyecto nuevo. Las celdas en azul claro son ejemplos — bórralos o reemplázalos cuando empieces a usar la plantilla con datos reales. No toques las columnas de prioridad, la matriz, ni la hoja 'Resumen' — se calculan solas, excepto la celda amarilla de 'Tope de WIP por persona' y la lista de nombres de personas, que sí son editables.</t>
  </si>
  <si>
    <t xml:space="preserve">Sin nombrar herramientas</t>
  </si>
  <si>
    <t xml:space="preserve">Esta plantilla no asume ningún software de gestión de trabajo en particular — es una forma de pensar y ordenar decisiones, no un sistema. Se puede usar en esta hoja de cálculo o trasladar la misma lógica a cualquier otra herramienta que el equipo ya use.</t>
  </si>
  <si>
    <t xml:space="preserve">Plan de implementación — de un diagnóstico inicial a un modelo de trabajo por prioridades</t>
  </si>
  <si>
    <t xml:space="preserve">Cada fila es un paso. Completa Responsable, Estado, Fechas y Notas a medida que avanzas — cualquier persona del equipo puede tomarlo desde donde quedó.</t>
  </si>
  <si>
    <t xml:space="preserve">Fase</t>
  </si>
  <si>
    <t xml:space="preserve">Paso</t>
  </si>
  <si>
    <t xml:space="preserve">Qué se hace</t>
  </si>
  <si>
    <t xml:space="preserve">Por qué importa para el negocio</t>
  </si>
  <si>
    <t xml:space="preserve">Responsable</t>
  </si>
  <si>
    <t xml:space="preserve">Estado</t>
  </si>
  <si>
    <t xml:space="preserve">Fecha objetivo</t>
  </si>
  <si>
    <t xml:space="preserve">Fecha real de cierre</t>
  </si>
  <si>
    <t xml:space="preserve">Notas</t>
  </si>
  <si>
    <t xml:space="preserve">Diagnóstico inicial (línea base)</t>
  </si>
  <si>
    <t xml:space="preserve">Entender con datos reales cómo está el equipo hoy: cuánto trabajo tiene cada persona, qué tan respetados están los límites ya acordados, qué iniciativas están realmente avanzando y cuáles llevan tiempo detenidas sin que nadie lo haya decidido, y si el control de calidad tiene capacidad real o está saturado.</t>
  </si>
  <si>
    <t xml:space="preserve">Sin esto, cualquier decisión que se tome después es una suposición, no un hecho.</t>
  </si>
  <si>
    <t xml:space="preserve">En curso</t>
  </si>
  <si>
    <t xml:space="preserve">El diagnóstico de la parte de seguridad e infraestructura ya se completó.</t>
  </si>
  <si>
    <t xml:space="preserve">Lenguaje común</t>
  </si>
  <si>
    <t xml:space="preserve">Acordar en una sola página cómo le va a llamar todo el equipo a cada pieza del nuevo modelo de trabajo, para que nadie interprete distinto lo mismo.</t>
  </si>
  <si>
    <t xml:space="preserve">Evita malentendidos y resistencia al cambio desde el principio.</t>
  </si>
  <si>
    <t xml:space="preserve">No iniciado</t>
  </si>
  <si>
    <t xml:space="preserve">Delimitar el alcance</t>
  </si>
  <si>
    <t xml:space="preserve">Definir por escrito qué NO se va a implementar todavía, para no sobrecargar al equipo con procesos que no necesita a su tamaño actual.</t>
  </si>
  <si>
    <t xml:space="preserve">Evita burocracia innecesaria y protege el tiempo del equipo.</t>
  </si>
  <si>
    <t xml:space="preserve">Priorización objetiva</t>
  </si>
  <si>
    <t xml:space="preserve">Reemplazar la discusión informal de "qué es más urgente" por una forma de calcular la prioridad con números, basada en el impacto para el negocio y el esfuerzo que toma. (Ver el detalle aplicado a proyectos en la hoja 'Seguimiento de proyectos'.)</t>
  </si>
  <si>
    <t xml:space="preserve">Las decisiones de prioridad quedan sustentadas en datos, no en quién insiste más fuerte.</t>
  </si>
  <si>
    <t xml:space="preserve">Agrupar por valor de negocio</t>
  </si>
  <si>
    <t xml:space="preserve">Organizar las iniciativas actuales según el valor que le entregan al negocio, no según el nombre del proyecto o quién lo pidió.</t>
  </si>
  <si>
    <t xml:space="preserve">Permite mover personas entre iniciativas relacionadas sin que se sienta como abandonar algo.</t>
  </si>
  <si>
    <t xml:space="preserve">Responsables y respaldos</t>
  </si>
  <si>
    <t xml:space="preserve">Nombrar quién toma cada decisión clave del nuevo modelo, y quién la respalda si esa persona no está disponible.</t>
  </si>
  <si>
    <t xml:space="preserve">Evita que las reglas se rompan bajo presión o que todo dependa de una sola persona.</t>
  </si>
  <si>
    <t xml:space="preserve">Sesiones cortas de ajuste</t>
  </si>
  <si>
    <t xml:space="preserve">Cambiar las reuniones largas de planificación por una sesión corta cada trimestre para ajustar el modelo con datos reales.</t>
  </si>
  <si>
    <t xml:space="preserve">Mantiene la disciplina del proceso sin consumir tiempo excesivo del equipo.</t>
  </si>
  <si>
    <t xml:space="preserve">Mecanismos de control</t>
  </si>
  <si>
    <t xml:space="preserve">Activar reglas concretas: quién atiende lo urgente cada semana (rotativo, no siempre la misma persona), qué tan costosa es cada interrupción, y qué pasa si un pendiente técnico se deja acumular sin atender.</t>
  </si>
  <si>
    <t xml:space="preserve">Hace visible el costo real de lo urgente y evita que el conocimiento clave se concentre en pocas personas.</t>
  </si>
  <si>
    <t xml:space="preserve">Piloto controlado (4 a 6 semanas)</t>
  </si>
  <si>
    <t xml:space="preserve">Aplicar todo lo anterior en una parte acotada del equipo, con una forma de medir el antes y el después ya acordada desde el inicio. Usa la hoja 'Seguimiento de proyectos' para registrar cada solicitud real que entre durante el piloto.</t>
  </si>
  <si>
    <t xml:space="preserve">Reduce el riesgo de imponer el cambio a todo el equipo de una sola vez.</t>
  </si>
  <si>
    <t xml:space="preserve">Medir y decidir</t>
  </si>
  <si>
    <t xml:space="preserve">Revisar los resultados del piloto contra lo que se acordó como éxito, y decidir si se expande, se ajusta, o se documenta como aprendizaje.</t>
  </si>
  <si>
    <t xml:space="preserve">Cierra el ciclo con evidencia real, no con una opinión.</t>
  </si>
  <si>
    <t xml:space="preserve">Cómo usar esta hoja: completa las columnas resaltadas (Responsable, Estado, Fechas, Notas) para cada paso. El paso 0 ya tiene un ejemplo real de cómo se ve un paso "En curso".</t>
  </si>
  <si>
    <t xml:space="preserve">Seguimiento de proyectos — de cada solicitud a una prioridad clara</t>
  </si>
  <si>
    <t xml:space="preserve">Un renglón por proyecto o solicitud. La columna 'Prioridad' se calcula sola (matriz a la derecha) — no la edites a mano.</t>
  </si>
  <si>
    <t xml:space="preserve">Proyecto</t>
  </si>
  <si>
    <t xml:space="preserve">Área o persona solicitante</t>
  </si>
  <si>
    <t xml:space="preserve">Qué problema de negocio resuelve</t>
  </si>
  <si>
    <t xml:space="preserve">Tipo de solicitud</t>
  </si>
  <si>
    <t xml:space="preserve">Impacto si se retrasa una semana</t>
  </si>
  <si>
    <t xml:space="preserve">Tamaño del esfuerzo</t>
  </si>
  <si>
    <t xml:space="preserve">Prioridad</t>
  </si>
  <si>
    <t xml:space="preserve">Línea de trabajo asignada</t>
  </si>
  <si>
    <t xml:space="preserve">Fase de desarrollo</t>
  </si>
  <si>
    <t xml:space="preserve">Fecha estimada de inicio</t>
  </si>
  <si>
    <t xml:space="preserve">Fecha estimada de entrega</t>
  </si>
  <si>
    <t xml:space="preserve">Fecha real de inicio de desarrollo</t>
  </si>
  <si>
    <t xml:space="preserve">Responsable principal (para indicadores de WIP)</t>
  </si>
  <si>
    <t xml:space="preserve">Matriz de prioridad (no editar — solo consulta)</t>
  </si>
  <si>
    <t xml:space="preserve">Portal de autoservicio para clientes</t>
  </si>
  <si>
    <t xml:space="preserve">Área comercial</t>
  </si>
  <si>
    <t xml:space="preserve">Reducir llamadas al área de atención por consultas simples que el cliente podría resolver solo.</t>
  </si>
  <si>
    <t xml:space="preserve">Tiene fecha límite real</t>
  </si>
  <si>
    <t xml:space="preserve">Alto</t>
  </si>
  <si>
    <t xml:space="preserve">Grande</t>
  </si>
  <si>
    <t xml:space="preserve">Producto y experiencia de cliente</t>
  </si>
  <si>
    <t xml:space="preserve">En desarrollo</t>
  </si>
  <si>
    <t xml:space="preserve">Depende de que el área legal apruebe los textos antes de publicar.</t>
  </si>
  <si>
    <t xml:space="preserve">Impacto \ Tamaño</t>
  </si>
  <si>
    <t xml:space="preserve">Pequeño</t>
  </si>
  <si>
    <t xml:space="preserve">Mediano</t>
  </si>
  <si>
    <t xml:space="preserve">Automatizar el reporte semanal de indicadores</t>
  </si>
  <si>
    <t xml:space="preserve">Operaciones</t>
  </si>
  <si>
    <t xml:space="preserve">Hoy una persona arma el reporte a mano cada semana; automatizarlo libera ese tiempo para otras prioridades.</t>
  </si>
  <si>
    <t xml:space="preserve">Puede esperar y priorizarse</t>
  </si>
  <si>
    <t xml:space="preserve">Medio</t>
  </si>
  <si>
    <t xml:space="preserve">Datos y reportes internos</t>
  </si>
  <si>
    <t xml:space="preserve">Por iniciar</t>
  </si>
  <si>
    <t xml:space="preserve">Muy alta</t>
  </si>
  <si>
    <t xml:space="preserve">Alta</t>
  </si>
  <si>
    <t xml:space="preserve">Cerrar hallazgos del diagnóstico de seguridad e infraestructura</t>
  </si>
  <si>
    <t xml:space="preserve">Infraestructura</t>
  </si>
  <si>
    <t xml:space="preserve">Atender los riesgos ya identificados en un diagnóstico externo antes de que se conviertan en un incidente.</t>
  </si>
  <si>
    <t xml:space="preserve">Urgente ahora</t>
  </si>
  <si>
    <t xml:space="preserve">Plataforma e infraestructura</t>
  </si>
  <si>
    <t xml:space="preserve">En pruebas de calidad</t>
  </si>
  <si>
    <t xml:space="preserve">Viene de un diagnóstico ya completado; en revisión antes de activar los cambios en producción.</t>
  </si>
  <si>
    <t xml:space="preserve">Media</t>
  </si>
  <si>
    <t xml:space="preserve">Migrar el catálogo de productos a la nueva base de datos</t>
  </si>
  <si>
    <t xml:space="preserve">Producto</t>
  </si>
  <si>
    <t xml:space="preserve">Reduce tiempos de carga que afectan la conversión en el sitio.</t>
  </si>
  <si>
    <t xml:space="preserve">En producción (ventana de observación)</t>
  </si>
  <si>
    <t xml:space="preserve">Ya salió a producción; se vigila estabilidad antes de cerrar el proyecto.</t>
  </si>
  <si>
    <t xml:space="preserve">Bajo</t>
  </si>
  <si>
    <t xml:space="preserve">Baja</t>
  </si>
  <si>
    <t xml:space="preserve">Actualizar librería interna de componentes visuales</t>
  </si>
  <si>
    <t xml:space="preserve">Equipo de desarrollo</t>
  </si>
  <si>
    <t xml:space="preserve">Reduce el tiempo de mantenimiento futuro, pero no resuelve una necesidad urgente de negocio hoy.</t>
  </si>
  <si>
    <t xml:space="preserve">Es mantenimiento o mejora interna</t>
  </si>
  <si>
    <t xml:space="preserve">Bloqueado</t>
  </si>
  <si>
    <t xml:space="preserve">Bloqueado por falta de capacidad disponible esta semana.</t>
  </si>
  <si>
    <t xml:space="preserve">Cómo leerla: impacto alto + esfuerzo pequeño siempre gana. Así lo urgente-pero-rápido de resolver no queda esperando detrás de algo grande y menos importante para el negocio.</t>
  </si>
  <si>
    <t xml:space="preserve">Cómo usar esta hoja: completa un renglón por cada proyecto o solicitud nueva (columnas en amarillo). 'Fase de desarrollo' muestra en qué momento del ciclo va cada proyecto (por iniciar, en desarrollo, en pruebas de calidad, en producción en observación, o en producción estable) — junto con 'Estado' y las fechas, responde para cuándo termina y en qué va. 'Fecha real de inicio de desarrollo', 'Fecha real de cierre' y 'Responsable principal' alimentan los indicadores de la hoja 'Resumen' — llénalas a medida que el ítem avanza, no al crearlo. Las 5 filas en azul claro son ejemplos — bórralas o reemplázalas cuando empieces a registrar proyectos reales. No edites la columna 'Prioridad' ni la matriz de la derecha: se calculan solas.</t>
  </si>
  <si>
    <t xml:space="preserve">Resumen de avance</t>
  </si>
  <si>
    <t xml:space="preserve">Se actualiza solo — no edites esta hoja, edita 'Hoja de ruta' y 'Seguimiento de proyectos'.</t>
  </si>
  <si>
    <t xml:space="preserve">% de la hoja de ruta completado</t>
  </si>
  <si>
    <t xml:space="preserve">Proyectos registrados</t>
  </si>
  <si>
    <t xml:space="preserve">Estado (hoja de ruta)</t>
  </si>
  <si>
    <t xml:space="preserve">Cantidad de pasos</t>
  </si>
  <si>
    <t xml:space="preserve">Cantidad de proyectos</t>
  </si>
  <si>
    <t xml:space="preserve">Estado (proyectos)</t>
  </si>
  <si>
    <t xml:space="preserve">Cantidad</t>
  </si>
  <si>
    <t xml:space="preserve">Completado</t>
  </si>
  <si>
    <t xml:space="preserve">En producción (estable)</t>
  </si>
  <si>
    <t xml:space="preserve">Indicadores (sección 9 del framework KPS)</t>
  </si>
  <si>
    <t xml:space="preserve">Se calculan solos a partir de 'Seguimiento de proyectos' — no edites esta sección, excepto la celda amarilla de Tope de WIP y la lista de personas.</t>
  </si>
  <si>
    <t xml:space="preserve">Tope de WIP por persona</t>
  </si>
  <si>
    <t xml:space="preserve">Editable — el tope individual que acordó el equipo (pilar 2 del framework).</t>
  </si>
  <si>
    <t xml:space="preserve">Indicadores de flujo (sección 9.1)</t>
  </si>
  <si>
    <t xml:space="preserve">Lead time promedio (días)</t>
  </si>
  <si>
    <t xml:space="preserve">Fecha real de cierre − Fecha estimada de inicio.</t>
  </si>
  <si>
    <t xml:space="preserve">Cycle time promedio (días)</t>
  </si>
  <si>
    <t xml:space="preserve">Fecha real de cierre − Fecha real de inicio de desarrollo.</t>
  </si>
  <si>
    <t xml:space="preserve">Eficiencia de flujo (%)</t>
  </si>
  <si>
    <t xml:space="preserve">Cycle time ÷ Lead time — cuánto del tiempo total fue trabajo activo.</t>
  </si>
  <si>
    <t xml:space="preserve">% de entrega a tiempo (Fecha fija)</t>
  </si>
  <si>
    <t xml:space="preserve">De los ítems con 'Tiene fecha límite real' ya Completados, % entregado en la fecha o antes.</t>
  </si>
  <si>
    <t xml:space="preserve">Nota: los 4 de arriba quedan vacíos hasta que empieces a llenar 'Fecha real de inicio de desarrollo' y 'Fecha real de cierre' en 'Seguimiento de proyectos' — al principio solo tienes fechas estimadas.</t>
  </si>
  <si>
    <t xml:space="preserve">Capacidad y carga por persona — foto de hoy (sección 9.2)</t>
  </si>
  <si>
    <t xml:space="preserve">Persona</t>
  </si>
  <si>
    <t xml:space="preserve">Ítems activos (En curso)</t>
  </si>
  <si>
    <t xml:space="preserve">¿Dentro del tope?</t>
  </si>
  <si>
    <t xml:space="preserve">María (ejemplo)</t>
  </si>
  <si>
    <t xml:space="preserve">Juan (ejemplo)</t>
  </si>
  <si>
    <t xml:space="preserve">Total WIP activo del portafolio</t>
  </si>
  <si>
    <t xml:space="preserve">Índice de concentración (%) — top 2 personas</t>
  </si>
  <si>
    <t xml:space="preserve">Riesgo de bus factor si supera 40% (sección 9.2 del framework).</t>
  </si>
  <si>
    <t xml:space="preserve">% de cumplimiento de WIP (personas dentro del tope)</t>
  </si>
  <si>
    <t xml:space="preserve">Sobre las personas que hoy tienen al menos 1 ítem activo.</t>
  </si>
  <si>
    <t xml:space="preserve">Cómo usar esta tabla: escribe el nombre de cada persona de tu equipo en la columna Persona (las 2 filas en azul son ejemplo, bórralas). El conteo de ítems activos se toma de la columna 'Responsable principal' de 'Seguimiento de proyectos' — usa una sola persona por ítem ahí, no una lista. Esta tabla es una foto de HOY; para medir tendencia real, repite la foto cada semana en el ritual semanal. Si necesitas más de 8 personas, copia el formato de una fila hacia abajo.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</si>
</sst>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General"/>
    <numFmt numFmtId="167" formatCode="0.0&quot; días&quot;"/>
    <numFmt numFmtId="168" formatCode="0.0\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9"/>
      <name val="Arial"/>
      <family val="0"/>
      <charset val="1"/>
    </font>
    <font>
      <i val="true"/>
      <sz val="10"/>
      <color rgb="FF52514E"/>
      <name val="Arial"/>
      <family val="0"/>
      <charset val="1"/>
    </font>
    <font>
      <b val="true"/>
      <sz val="11"/>
      <color rgb="FF1A1A1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.5"/>
      <color rgb="FF52514E"/>
      <name val="Arial"/>
      <family val="0"/>
      <charset val="1"/>
    </font>
    <font>
      <b val="true"/>
      <sz val="10.5"/>
      <name val="Arial"/>
      <family val="0"/>
      <charset val="1"/>
    </font>
    <font>
      <b val="true"/>
      <sz val="36"/>
      <color rgb="FF1A1A19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1A1A1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9"/>
        <bgColor rgb="FF003300"/>
      </patternFill>
    </fill>
    <fill>
      <patternFill patternType="solid">
        <fgColor rgb="FFFFF9E0"/>
        <bgColor rgb="FFFFFFFF"/>
      </patternFill>
    </fill>
    <fill>
      <patternFill patternType="solid">
        <fgColor rgb="FFEAF1FB"/>
        <bgColor rgb="FFE7E6E1"/>
      </patternFill>
    </fill>
    <fill>
      <patternFill patternType="solid">
        <fgColor rgb="FFE7E6E1"/>
        <bgColor rgb="FFEAF1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7D0"/>
      </left>
      <right style="thin">
        <color rgb="FFD8D7D0"/>
      </right>
      <top style="thin">
        <color rgb="FFD8D7D0"/>
      </top>
      <bottom style="thin">
        <color rgb="FFD8D7D0"/>
      </bottom>
      <diagonal/>
    </border>
    <border diagonalUp="false" diagonalDown="false">
      <left style="thin">
        <color rgb="FFD8D7D0"/>
      </left>
      <right/>
      <top style="thin">
        <color rgb="FFD8D7D0"/>
      </top>
      <bottom style="thin">
        <color rgb="FFD8D7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808000"/>
      <rgbColor rgb="FF800080"/>
      <rgbColor rgb="FF008080"/>
      <rgbColor rgb="FFC3C2B7"/>
      <rgbColor rgb="FF878787"/>
      <rgbColor rgb="FF7EA6D2"/>
      <rgbColor rgb="FFD03B3B"/>
      <rgbColor rgb="FFFFF9E0"/>
      <rgbColor rgb="FFEAF1FB"/>
      <rgbColor rgb="FF660066"/>
      <rgbColor rgb="FFFF8080"/>
      <rgbColor rgb="FF0066CC"/>
      <rgbColor rgb="FFC7DB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7E6E1"/>
      <rgbColor rgb="FFFFFF99"/>
      <rgbColor rgb="FF99CCFF"/>
      <rgbColor rgb="FFFF99CC"/>
      <rgbColor rgb="FFCC99FF"/>
      <rgbColor rgb="FFD8D7D0"/>
      <rgbColor rgb="FF3366FF"/>
      <rgbColor rgb="FF33CCCC"/>
      <rgbColor rgb="FF99CC00"/>
      <rgbColor rgb="FFFFCC00"/>
      <rgbColor rgb="FFFAB219"/>
      <rgbColor rgb="FFFF6600"/>
      <rgbColor rgb="FF3D6FA6"/>
      <rgbColor rgb="FF898781"/>
      <rgbColor rgb="FF1B3F66"/>
      <rgbColor rgb="FF339966"/>
      <rgbColor rgb="FF003300"/>
      <rgbColor rgb="FF1A1A19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Pasos de la hoja de ruta por estado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Resumen!B8</c:f>
              <c:strCache>
                <c:ptCount val="1"/>
                <c:pt idx="0">
                  <c:v>Cantidad de pasos</c:v>
                </c:pt>
              </c:strCache>
            </c:strRef>
          </c:tx>
          <c:spPr>
            <a:solidFill>
              <a:srgbClr val="898781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ca30c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ab21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d03b3b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c3c2b7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Resumen!$A$9:$A$12</c:f>
              <c:strCache>
                <c:ptCount val="4"/>
                <c:pt idx="0">
                  <c:v>Completado</c:v>
                </c:pt>
                <c:pt idx="1">
                  <c:v>En curso</c:v>
                </c:pt>
                <c:pt idx="2">
                  <c:v>Bloqueado</c:v>
                </c:pt>
                <c:pt idx="3">
                  <c:v>No iniciado</c:v>
                </c:pt>
              </c:strCache>
            </c:strRef>
          </c:cat>
          <c:val>
            <c:numRef>
              <c:f>Resumen!$B$9:$B$12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9</c:v>
                </c:pt>
              </c:numCache>
            </c:numRef>
          </c:val>
        </c:ser>
        <c:gapWidth val="150"/>
        <c:overlap val="0"/>
        <c:axId val="42176697"/>
        <c:axId val="98406073"/>
      </c:barChart>
      <c:catAx>
        <c:axId val="42176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06073"/>
        <c:crosses val="autoZero"/>
        <c:auto val="1"/>
        <c:lblAlgn val="ctr"/>
        <c:lblOffset val="100"/>
        <c:noMultiLvlLbl val="0"/>
      </c:catAx>
      <c:valAx>
        <c:axId val="98406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766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Proyectos por prioridad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Resumen!E8</c:f>
              <c:strCache>
                <c:ptCount val="1"/>
                <c:pt idx="0">
                  <c:v>Cantidad de proyectos</c:v>
                </c:pt>
              </c:strCache>
            </c:strRef>
          </c:tx>
          <c:spPr>
            <a:solidFill>
              <a:srgbClr val="3d6fa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b3f6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3d6fa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7ea6d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c7dbee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Resumen!$D$9:$D$12</c:f>
              <c:strCache>
                <c:ptCount val="4"/>
                <c:pt idx="0">
                  <c:v>Muy alta</c:v>
                </c:pt>
                <c:pt idx="1">
                  <c:v>Alta</c:v>
                </c:pt>
                <c:pt idx="2">
                  <c:v>Media</c:v>
                </c:pt>
                <c:pt idx="3">
                  <c:v>Baja</c:v>
                </c:pt>
              </c:strCache>
            </c:strRef>
          </c:cat>
          <c:val>
            <c:numRef>
              <c:f>Resumen!$E$9:$E$12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150"/>
        <c:overlap val="0"/>
        <c:axId val="86381979"/>
        <c:axId val="2608457"/>
      </c:barChart>
      <c:catAx>
        <c:axId val="863819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8457"/>
        <c:crosses val="autoZero"/>
        <c:auto val="1"/>
        <c:lblAlgn val="ctr"/>
        <c:lblOffset val="100"/>
        <c:noMultiLvlLbl val="0"/>
      </c:catAx>
      <c:valAx>
        <c:axId val="2608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819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130680</xdr:rowOff>
    </xdr:from>
    <xdr:to>
      <xdr:col>2</xdr:col>
      <xdr:colOff>1656360</xdr:colOff>
      <xdr:row>23</xdr:row>
      <xdr:rowOff>266040</xdr:rowOff>
    </xdr:to>
    <xdr:graphicFrame>
      <xdr:nvGraphicFramePr>
        <xdr:cNvPr id="0" name="Chart 1"/>
        <xdr:cNvGraphicFramePr/>
      </xdr:nvGraphicFramePr>
      <xdr:xfrm>
        <a:off x="0" y="2666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13</xdr:row>
      <xdr:rowOff>130680</xdr:rowOff>
    </xdr:from>
    <xdr:to>
      <xdr:col>7</xdr:col>
      <xdr:colOff>387720</xdr:colOff>
      <xdr:row>23</xdr:row>
      <xdr:rowOff>266040</xdr:rowOff>
    </xdr:to>
    <xdr:graphicFrame>
      <xdr:nvGraphicFramePr>
        <xdr:cNvPr id="1" name="Chart 2"/>
        <xdr:cNvGraphicFramePr/>
      </xdr:nvGraphicFramePr>
      <xdr:xfrm>
        <a:off x="5497920" y="2666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8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6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60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</row>
    <row r="6" customFormat="false" ht="60" hidden="false" customHeight="true" outlineLevel="0" collapsed="false">
      <c r="A6" s="3" t="s">
        <v>6</v>
      </c>
      <c r="B6" s="4" t="s">
        <v>7</v>
      </c>
      <c r="C6" s="4"/>
      <c r="D6" s="4"/>
      <c r="E6" s="4"/>
      <c r="F6" s="4"/>
    </row>
    <row r="7" customFormat="false" ht="60" hidden="false" customHeight="true" outlineLevel="0" collapsed="false">
      <c r="A7" s="3" t="s">
        <v>8</v>
      </c>
      <c r="B7" s="4" t="s">
        <v>9</v>
      </c>
      <c r="C7" s="4"/>
      <c r="D7" s="4"/>
      <c r="E7" s="4"/>
      <c r="F7" s="4"/>
    </row>
    <row r="8" customFormat="false" ht="60" hidden="false" customHeight="true" outlineLevel="0" collapsed="false">
      <c r="A8" s="3" t="s">
        <v>10</v>
      </c>
      <c r="B8" s="4" t="s">
        <v>11</v>
      </c>
      <c r="C8" s="4"/>
      <c r="D8" s="4"/>
      <c r="E8" s="4"/>
      <c r="F8" s="4"/>
    </row>
    <row r="9" customFormat="false" ht="60" hidden="false" customHeight="true" outlineLevel="0" collapsed="false">
      <c r="A9" s="3" t="s">
        <v>12</v>
      </c>
      <c r="B9" s="4" t="s">
        <v>13</v>
      </c>
      <c r="C9" s="4"/>
      <c r="D9" s="4"/>
      <c r="E9" s="4"/>
      <c r="F9" s="4"/>
    </row>
    <row r="10" customFormat="false" ht="60" hidden="false" customHeight="true" outlineLevel="0" collapsed="false">
      <c r="A10" s="3" t="s">
        <v>14</v>
      </c>
      <c r="B10" s="4" t="s">
        <v>15</v>
      </c>
      <c r="C10" s="4"/>
      <c r="D10" s="4"/>
      <c r="E10" s="4"/>
      <c r="F10" s="4"/>
    </row>
    <row r="11" customFormat="false" ht="60" hidden="false" customHeight="true" outlineLevel="0" collapsed="false">
      <c r="A11" s="3" t="s">
        <v>16</v>
      </c>
      <c r="B11" s="4" t="s">
        <v>17</v>
      </c>
      <c r="C11" s="4"/>
      <c r="D11" s="4"/>
      <c r="E11" s="4"/>
      <c r="F11" s="4"/>
    </row>
    <row r="12" customFormat="false" ht="60" hidden="false" customHeight="true" outlineLevel="0" collapsed="false">
      <c r="A12" s="3" t="s">
        <v>18</v>
      </c>
      <c r="B12" s="4" t="s">
        <v>19</v>
      </c>
      <c r="C12" s="4"/>
      <c r="D12" s="4"/>
      <c r="E12" s="4"/>
      <c r="F12" s="4"/>
    </row>
  </sheetData>
  <mergeCells count="11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21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21</v>
      </c>
      <c r="B2" s="2"/>
      <c r="C2" s="2"/>
      <c r="D2" s="2"/>
      <c r="E2" s="2"/>
      <c r="F2" s="2"/>
      <c r="G2" s="2"/>
      <c r="H2" s="2"/>
      <c r="I2" s="2"/>
    </row>
    <row r="4" customFormat="false" ht="26.85" hidden="false" customHeight="fals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</row>
    <row r="5" customFormat="false" ht="61.5" hidden="false" customHeight="true" outlineLevel="0" collapsed="false">
      <c r="A5" s="6" t="n">
        <v>0</v>
      </c>
      <c r="B5" s="6" t="s">
        <v>31</v>
      </c>
      <c r="C5" s="6" t="s">
        <v>32</v>
      </c>
      <c r="D5" s="6" t="s">
        <v>33</v>
      </c>
      <c r="E5" s="7"/>
      <c r="F5" s="7" t="s">
        <v>34</v>
      </c>
      <c r="G5" s="7"/>
      <c r="H5" s="7"/>
      <c r="I5" s="7" t="s">
        <v>35</v>
      </c>
    </row>
    <row r="6" customFormat="false" ht="61.5" hidden="false" customHeight="true" outlineLevel="0" collapsed="false">
      <c r="A6" s="6" t="n">
        <v>1</v>
      </c>
      <c r="B6" s="6" t="s">
        <v>36</v>
      </c>
      <c r="C6" s="6" t="s">
        <v>37</v>
      </c>
      <c r="D6" s="6" t="s">
        <v>38</v>
      </c>
      <c r="E6" s="7"/>
      <c r="F6" s="7" t="s">
        <v>39</v>
      </c>
      <c r="G6" s="7"/>
      <c r="H6" s="7"/>
      <c r="I6" s="7"/>
    </row>
    <row r="7" customFormat="false" ht="61.5" hidden="false" customHeight="true" outlineLevel="0" collapsed="false">
      <c r="A7" s="6" t="n">
        <v>2</v>
      </c>
      <c r="B7" s="6" t="s">
        <v>40</v>
      </c>
      <c r="C7" s="6" t="s">
        <v>41</v>
      </c>
      <c r="D7" s="6" t="s">
        <v>42</v>
      </c>
      <c r="E7" s="7"/>
      <c r="F7" s="7" t="s">
        <v>39</v>
      </c>
      <c r="G7" s="7"/>
      <c r="H7" s="7"/>
      <c r="I7" s="7"/>
    </row>
    <row r="8" customFormat="false" ht="61.5" hidden="false" customHeight="true" outlineLevel="0" collapsed="false">
      <c r="A8" s="6" t="n">
        <v>3</v>
      </c>
      <c r="B8" s="6" t="s">
        <v>43</v>
      </c>
      <c r="C8" s="6" t="s">
        <v>44</v>
      </c>
      <c r="D8" s="6" t="s">
        <v>45</v>
      </c>
      <c r="E8" s="7"/>
      <c r="F8" s="7" t="s">
        <v>39</v>
      </c>
      <c r="G8" s="7"/>
      <c r="H8" s="7"/>
      <c r="I8" s="7"/>
    </row>
    <row r="9" customFormat="false" ht="61.5" hidden="false" customHeight="true" outlineLevel="0" collapsed="false">
      <c r="A9" s="6" t="n">
        <v>4</v>
      </c>
      <c r="B9" s="6" t="s">
        <v>46</v>
      </c>
      <c r="C9" s="6" t="s">
        <v>47</v>
      </c>
      <c r="D9" s="6" t="s">
        <v>48</v>
      </c>
      <c r="E9" s="7"/>
      <c r="F9" s="7" t="s">
        <v>39</v>
      </c>
      <c r="G9" s="7"/>
      <c r="H9" s="7"/>
      <c r="I9" s="7"/>
    </row>
    <row r="10" customFormat="false" ht="61.5" hidden="false" customHeight="true" outlineLevel="0" collapsed="false">
      <c r="A10" s="6" t="n">
        <v>5</v>
      </c>
      <c r="B10" s="6" t="s">
        <v>49</v>
      </c>
      <c r="C10" s="6" t="s">
        <v>50</v>
      </c>
      <c r="D10" s="6" t="s">
        <v>51</v>
      </c>
      <c r="E10" s="7"/>
      <c r="F10" s="7" t="s">
        <v>39</v>
      </c>
      <c r="G10" s="7"/>
      <c r="H10" s="7"/>
      <c r="I10" s="7"/>
    </row>
    <row r="11" customFormat="false" ht="61.5" hidden="false" customHeight="true" outlineLevel="0" collapsed="false">
      <c r="A11" s="6" t="n">
        <v>6</v>
      </c>
      <c r="B11" s="6" t="s">
        <v>52</v>
      </c>
      <c r="C11" s="6" t="s">
        <v>53</v>
      </c>
      <c r="D11" s="6" t="s">
        <v>54</v>
      </c>
      <c r="E11" s="7"/>
      <c r="F11" s="7" t="s">
        <v>39</v>
      </c>
      <c r="G11" s="7"/>
      <c r="H11" s="7"/>
      <c r="I11" s="7"/>
    </row>
    <row r="12" customFormat="false" ht="61.5" hidden="false" customHeight="true" outlineLevel="0" collapsed="false">
      <c r="A12" s="6" t="n">
        <v>7</v>
      </c>
      <c r="B12" s="6" t="s">
        <v>55</v>
      </c>
      <c r="C12" s="6" t="s">
        <v>56</v>
      </c>
      <c r="D12" s="6" t="s">
        <v>57</v>
      </c>
      <c r="E12" s="7"/>
      <c r="F12" s="7" t="s">
        <v>39</v>
      </c>
      <c r="G12" s="7"/>
      <c r="H12" s="7"/>
      <c r="I12" s="7"/>
    </row>
    <row r="13" customFormat="false" ht="61.5" hidden="false" customHeight="true" outlineLevel="0" collapsed="false">
      <c r="A13" s="6" t="n">
        <v>8</v>
      </c>
      <c r="B13" s="6" t="s">
        <v>58</v>
      </c>
      <c r="C13" s="6" t="s">
        <v>59</v>
      </c>
      <c r="D13" s="6" t="s">
        <v>60</v>
      </c>
      <c r="E13" s="7"/>
      <c r="F13" s="7" t="s">
        <v>39</v>
      </c>
      <c r="G13" s="7"/>
      <c r="H13" s="7"/>
      <c r="I13" s="7"/>
    </row>
    <row r="14" customFormat="false" ht="61.5" hidden="false" customHeight="true" outlineLevel="0" collapsed="false">
      <c r="A14" s="6" t="n">
        <v>9</v>
      </c>
      <c r="B14" s="6" t="s">
        <v>61</v>
      </c>
      <c r="C14" s="6" t="s">
        <v>62</v>
      </c>
      <c r="D14" s="6" t="s">
        <v>63</v>
      </c>
      <c r="E14" s="7"/>
      <c r="F14" s="7" t="s">
        <v>39</v>
      </c>
      <c r="G14" s="7"/>
      <c r="H14" s="7"/>
      <c r="I14" s="7"/>
    </row>
    <row r="16" customFormat="false" ht="15" hidden="false" customHeight="true" outlineLevel="0" collapsed="false">
      <c r="A16" s="8" t="s">
        <v>64</v>
      </c>
      <c r="B16" s="8"/>
      <c r="C16" s="8"/>
      <c r="D16" s="8"/>
      <c r="E16" s="8"/>
      <c r="F16" s="8"/>
      <c r="G16" s="8"/>
      <c r="H16" s="8"/>
      <c r="I16" s="8"/>
    </row>
  </sheetData>
  <mergeCells count="3">
    <mergeCell ref="A1:I1"/>
    <mergeCell ref="A2:I2"/>
    <mergeCell ref="A16:I16"/>
  </mergeCells>
  <dataValidations count="1">
    <dataValidation allowBlank="true" errorStyle="stop" operator="between" showDropDown="false" showErrorMessage="false" showInputMessage="false" sqref="F5:F14" type="list">
      <formula1>"No iniciado,En curso,Completado,Bloqueado"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22"/>
    <col collapsed="false" customWidth="true" hidden="false" outlineLevel="0" max="13" min="12" style="0" width="16"/>
    <col collapsed="false" customWidth="true" hidden="false" outlineLevel="0" max="14" min="14" style="0" width="30"/>
    <col collapsed="false" customWidth="true" hidden="false" outlineLevel="0" max="15" min="15" style="0" width="18"/>
    <col collapsed="false" customWidth="true" hidden="false" outlineLevel="0" max="16" min="16" style="0" width="16"/>
    <col collapsed="false" customWidth="true" hidden="false" outlineLevel="0" max="17" min="17" style="0" width="26"/>
    <col collapsed="false" customWidth="true" hidden="false" outlineLevel="0" max="18" min="18" style="0" width="3"/>
    <col collapsed="false" customWidth="true" hidden="false" outlineLevel="0" max="19" min="19" style="0" width="16"/>
    <col collapsed="false" customWidth="true" hidden="false" outlineLevel="0" max="22" min="20" style="0" width="13"/>
  </cols>
  <sheetData>
    <row r="1" customFormat="false" ht="21.75" hidden="false" customHeight="true" outlineLevel="0" collapsed="false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.75" hidden="false" customHeight="true" outlineLevel="0" collapsed="false">
      <c r="A2" s="2" t="s">
        <v>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39.55" hidden="false" customHeight="false" outlineLevel="0" collapsed="false">
      <c r="A4" s="5" t="s">
        <v>67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26</v>
      </c>
      <c r="J4" s="5" t="s">
        <v>27</v>
      </c>
      <c r="K4" s="5" t="s">
        <v>75</v>
      </c>
      <c r="L4" s="5" t="s">
        <v>76</v>
      </c>
      <c r="M4" s="5" t="s">
        <v>77</v>
      </c>
      <c r="N4" s="5" t="s">
        <v>30</v>
      </c>
      <c r="O4" s="5" t="s">
        <v>78</v>
      </c>
      <c r="P4" s="5" t="s">
        <v>29</v>
      </c>
      <c r="Q4" s="5" t="s">
        <v>79</v>
      </c>
      <c r="S4" s="9" t="s">
        <v>80</v>
      </c>
      <c r="T4" s="9"/>
      <c r="U4" s="9"/>
      <c r="V4" s="9"/>
    </row>
    <row r="5" customFormat="false" ht="48" hidden="false" customHeight="true" outlineLevel="0" collapsed="false">
      <c r="A5" s="10" t="s">
        <v>81</v>
      </c>
      <c r="B5" s="10" t="s">
        <v>82</v>
      </c>
      <c r="C5" s="10" t="s">
        <v>83</v>
      </c>
      <c r="D5" s="10" t="s">
        <v>84</v>
      </c>
      <c r="E5" s="10" t="s">
        <v>85</v>
      </c>
      <c r="F5" s="10" t="s">
        <v>86</v>
      </c>
      <c r="G5" s="11" t="str">
        <f aca="false">IFERROR(INDEX($T$6:$V$8,MATCH($E5,$S$6:$S$8,0),MATCH($F5,$T$5:$V$5,0)),"")</f>
        <v>Alta</v>
      </c>
      <c r="H5" s="10" t="s">
        <v>87</v>
      </c>
      <c r="I5" s="10"/>
      <c r="J5" s="10" t="s">
        <v>34</v>
      </c>
      <c r="K5" s="10" t="s">
        <v>88</v>
      </c>
      <c r="L5" s="10"/>
      <c r="M5" s="10"/>
      <c r="N5" s="10" t="s">
        <v>89</v>
      </c>
      <c r="O5" s="10"/>
      <c r="P5" s="10"/>
      <c r="Q5" s="10"/>
      <c r="S5" s="5" t="s">
        <v>90</v>
      </c>
      <c r="T5" s="5" t="s">
        <v>91</v>
      </c>
      <c r="U5" s="5" t="s">
        <v>92</v>
      </c>
      <c r="V5" s="5" t="s">
        <v>86</v>
      </c>
    </row>
    <row r="6" customFormat="false" ht="48" hidden="false" customHeight="true" outlineLevel="0" collapsed="false">
      <c r="A6" s="10" t="s">
        <v>93</v>
      </c>
      <c r="B6" s="10" t="s">
        <v>94</v>
      </c>
      <c r="C6" s="10" t="s">
        <v>95</v>
      </c>
      <c r="D6" s="10" t="s">
        <v>96</v>
      </c>
      <c r="E6" s="10" t="s">
        <v>97</v>
      </c>
      <c r="F6" s="10" t="s">
        <v>91</v>
      </c>
      <c r="G6" s="11" t="str">
        <f aca="false">IFERROR(INDEX($T$6:$V$8,MATCH($E6,$S$6:$S$8,0),MATCH($F6,$T$5:$V$5,0)),"")</f>
        <v>Alta</v>
      </c>
      <c r="H6" s="10" t="s">
        <v>98</v>
      </c>
      <c r="I6" s="10"/>
      <c r="J6" s="10" t="s">
        <v>39</v>
      </c>
      <c r="K6" s="10" t="s">
        <v>99</v>
      </c>
      <c r="L6" s="10"/>
      <c r="M6" s="10"/>
      <c r="N6" s="10"/>
      <c r="O6" s="10"/>
      <c r="P6" s="10"/>
      <c r="Q6" s="10"/>
      <c r="S6" s="12" t="s">
        <v>85</v>
      </c>
      <c r="T6" s="13" t="s">
        <v>100</v>
      </c>
      <c r="U6" s="13" t="s">
        <v>101</v>
      </c>
      <c r="V6" s="13" t="s">
        <v>101</v>
      </c>
    </row>
    <row r="7" customFormat="false" ht="48" hidden="false" customHeight="true" outlineLevel="0" collapsed="false">
      <c r="A7" s="10" t="s">
        <v>102</v>
      </c>
      <c r="B7" s="10" t="s">
        <v>103</v>
      </c>
      <c r="C7" s="10" t="s">
        <v>104</v>
      </c>
      <c r="D7" s="10" t="s">
        <v>105</v>
      </c>
      <c r="E7" s="10" t="s">
        <v>85</v>
      </c>
      <c r="F7" s="10" t="s">
        <v>92</v>
      </c>
      <c r="G7" s="11" t="str">
        <f aca="false">IFERROR(INDEX($T$6:$V$8,MATCH($E7,$S$6:$S$8,0),MATCH($F7,$T$5:$V$5,0)),"")</f>
        <v>Alta</v>
      </c>
      <c r="H7" s="10" t="s">
        <v>106</v>
      </c>
      <c r="I7" s="10"/>
      <c r="J7" s="10" t="s">
        <v>34</v>
      </c>
      <c r="K7" s="10" t="s">
        <v>107</v>
      </c>
      <c r="L7" s="10"/>
      <c r="M7" s="10"/>
      <c r="N7" s="10" t="s">
        <v>108</v>
      </c>
      <c r="O7" s="10"/>
      <c r="P7" s="10"/>
      <c r="Q7" s="10"/>
      <c r="S7" s="12" t="s">
        <v>97</v>
      </c>
      <c r="T7" s="13" t="s">
        <v>101</v>
      </c>
      <c r="U7" s="13" t="s">
        <v>109</v>
      </c>
      <c r="V7" s="13" t="s">
        <v>109</v>
      </c>
    </row>
    <row r="8" customFormat="false" ht="48" hidden="false" customHeight="true" outlineLevel="0" collapsed="false">
      <c r="A8" s="10" t="s">
        <v>110</v>
      </c>
      <c r="B8" s="10" t="s">
        <v>111</v>
      </c>
      <c r="C8" s="10" t="s">
        <v>112</v>
      </c>
      <c r="D8" s="10" t="s">
        <v>84</v>
      </c>
      <c r="E8" s="10" t="s">
        <v>85</v>
      </c>
      <c r="F8" s="10" t="s">
        <v>86</v>
      </c>
      <c r="G8" s="11" t="str">
        <f aca="false">IFERROR(INDEX($T$6:$V$8,MATCH($E8,$S$6:$S$8,0),MATCH($F8,$T$5:$V$5,0)),"")</f>
        <v>Alta</v>
      </c>
      <c r="H8" s="10" t="s">
        <v>87</v>
      </c>
      <c r="I8" s="10"/>
      <c r="J8" s="10" t="s">
        <v>34</v>
      </c>
      <c r="K8" s="10" t="s">
        <v>113</v>
      </c>
      <c r="L8" s="10"/>
      <c r="M8" s="10"/>
      <c r="N8" s="10" t="s">
        <v>114</v>
      </c>
      <c r="O8" s="10"/>
      <c r="P8" s="10"/>
      <c r="Q8" s="10"/>
      <c r="S8" s="12" t="s">
        <v>115</v>
      </c>
      <c r="T8" s="13" t="s">
        <v>109</v>
      </c>
      <c r="U8" s="13" t="s">
        <v>116</v>
      </c>
      <c r="V8" s="13" t="s">
        <v>116</v>
      </c>
    </row>
    <row r="9" customFormat="false" ht="48" hidden="false" customHeight="true" outlineLevel="0" collapsed="false">
      <c r="A9" s="10" t="s">
        <v>117</v>
      </c>
      <c r="B9" s="10" t="s">
        <v>118</v>
      </c>
      <c r="C9" s="10" t="s">
        <v>119</v>
      </c>
      <c r="D9" s="10" t="s">
        <v>120</v>
      </c>
      <c r="E9" s="10" t="s">
        <v>115</v>
      </c>
      <c r="F9" s="10" t="s">
        <v>92</v>
      </c>
      <c r="G9" s="11" t="str">
        <f aca="false">IFERROR(INDEX($T$6:$V$8,MATCH($E9,$S$6:$S$8,0),MATCH($F9,$T$5:$V$5,0)),"")</f>
        <v>Baja</v>
      </c>
      <c r="H9" s="10" t="s">
        <v>106</v>
      </c>
      <c r="I9" s="10"/>
      <c r="J9" s="10" t="s">
        <v>121</v>
      </c>
      <c r="K9" s="10" t="s">
        <v>99</v>
      </c>
      <c r="L9" s="10"/>
      <c r="M9" s="10"/>
      <c r="N9" s="10" t="s">
        <v>122</v>
      </c>
      <c r="O9" s="10"/>
      <c r="P9" s="10"/>
      <c r="Q9" s="10"/>
    </row>
    <row r="10" customFormat="false" ht="48" hidden="false" customHeight="true" outlineLevel="0" collapsed="false">
      <c r="A10" s="7"/>
      <c r="B10" s="7"/>
      <c r="C10" s="7"/>
      <c r="D10" s="7"/>
      <c r="E10" s="7"/>
      <c r="F10" s="7"/>
      <c r="G10" s="14" t="str">
        <f aca="false">IFERROR(INDEX($T$6:$V$8,MATCH($E10,$S$6:$S$8,0),MATCH($F10,$T$5:$V$5,0)),"")</f>
        <v/>
      </c>
      <c r="H10" s="6"/>
      <c r="I10" s="7"/>
      <c r="J10" s="7"/>
      <c r="K10" s="7"/>
      <c r="L10" s="7"/>
      <c r="M10" s="7"/>
      <c r="N10" s="7"/>
      <c r="O10" s="7"/>
      <c r="P10" s="7"/>
      <c r="Q10" s="7"/>
      <c r="S10" s="8" t="s">
        <v>123</v>
      </c>
      <c r="T10" s="8"/>
      <c r="U10" s="8"/>
      <c r="V10" s="8"/>
    </row>
    <row r="11" customFormat="false" ht="48" hidden="false" customHeight="true" outlineLevel="0" collapsed="false">
      <c r="A11" s="7"/>
      <c r="B11" s="7"/>
      <c r="C11" s="7"/>
      <c r="D11" s="7"/>
      <c r="E11" s="7"/>
      <c r="F11" s="7"/>
      <c r="G11" s="14" t="str">
        <f aca="false">IFERROR(INDEX($T$6:$V$8,MATCH($E11,$S$6:$S$8,0),MATCH($F11,$T$5:$V$5,0)),"")</f>
        <v/>
      </c>
      <c r="H11" s="6"/>
      <c r="I11" s="7"/>
      <c r="J11" s="7"/>
      <c r="K11" s="7"/>
      <c r="L11" s="7"/>
      <c r="M11" s="7"/>
      <c r="N11" s="7"/>
      <c r="O11" s="7"/>
      <c r="P11" s="7"/>
      <c r="Q11" s="7"/>
      <c r="S11" s="8"/>
      <c r="T11" s="8"/>
      <c r="U11" s="8"/>
      <c r="V11" s="8"/>
    </row>
    <row r="12" customFormat="false" ht="15" hidden="false" customHeight="false" outlineLevel="0" collapsed="false">
      <c r="S12" s="8"/>
      <c r="T12" s="8"/>
      <c r="U12" s="8"/>
      <c r="V12" s="8"/>
    </row>
    <row r="13" customFormat="false" ht="57.75" hidden="false" customHeight="true" outlineLevel="0" collapsed="false">
      <c r="A13" s="8" t="s">
        <v>124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S13" s="8"/>
      <c r="T13" s="8"/>
      <c r="U13" s="8"/>
      <c r="V13" s="8"/>
    </row>
  </sheetData>
  <mergeCells count="5">
    <mergeCell ref="A1:Q1"/>
    <mergeCell ref="A2:Q2"/>
    <mergeCell ref="S4:V4"/>
    <mergeCell ref="S10:V13"/>
    <mergeCell ref="A13:Q13"/>
  </mergeCells>
  <dataValidations count="5">
    <dataValidation allowBlank="true" errorStyle="stop" operator="between" showDropDown="false" showErrorMessage="false" showInputMessage="false" sqref="D5:D11" type="list">
      <formula1>"Urgente ahora,Tiene fecha límite real,Puede esperar y priorizarse,Es mantenimiento o mejora interna"</formula1>
      <formula2>0</formula2>
    </dataValidation>
    <dataValidation allowBlank="true" errorStyle="stop" operator="between" showDropDown="false" showErrorMessage="false" showInputMessage="false" sqref="E5:E11" type="list">
      <formula1>"Alto,Medio,Bajo"</formula1>
      <formula2>0</formula2>
    </dataValidation>
    <dataValidation allowBlank="true" errorStyle="stop" operator="between" showDropDown="false" showErrorMessage="false" showInputMessage="false" sqref="F5:F11" type="list">
      <formula1>"Pequeño,Mediano,Grande"</formula1>
      <formula2>0</formula2>
    </dataValidation>
    <dataValidation allowBlank="true" errorStyle="stop" operator="between" showDropDown="false" showErrorMessage="false" showInputMessage="false" sqref="J5:J11" type="list">
      <formula1>"No iniciado,En curso,Completado,Bloqueado"</formula1>
      <formula2>0</formula2>
    </dataValidation>
    <dataValidation allowBlank="true" errorStyle="stop" operator="between" showDropDown="false" showErrorMessage="false" showInputMessage="false" sqref="K5:K11" type="list">
      <formula1>"Por iniciar,En desarrollo,En pruebas de calidad,En producción (ventana de observación),En producción (estable)"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4"/>
    <col collapsed="false" customWidth="true" hidden="false" outlineLevel="0" max="7" min="7" style="0" width="20"/>
    <col collapsed="false" customWidth="true" hidden="false" outlineLevel="0" max="8" min="8" style="0" width="12"/>
    <col collapsed="false" customWidth="true" hidden="false" outlineLevel="0" max="9" min="9" style="0" width="4"/>
    <col collapsed="false" customWidth="true" hidden="false" outlineLevel="0" max="10" min="10" style="0" width="30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9" t="s">
        <v>127</v>
      </c>
      <c r="B4" s="9"/>
      <c r="D4" s="9" t="s">
        <v>128</v>
      </c>
      <c r="E4" s="9"/>
    </row>
    <row r="5" customFormat="false" ht="15" hidden="false" customHeight="false" outlineLevel="0" collapsed="false">
      <c r="A5" s="15" t="n">
        <f aca="false">COUNTIF('Hoja de ruta'!F5:F14,"Completado")/COUNTA('Hoja de ruta'!B5:B14)</f>
        <v>0</v>
      </c>
      <c r="B5" s="15"/>
      <c r="D5" s="16" t="n">
        <f aca="false">COUNTA('Seguimiento de proyectos'!A5:A11)</f>
        <v>5</v>
      </c>
      <c r="E5" s="16"/>
    </row>
    <row r="6" customFormat="false" ht="15" hidden="false" customHeight="false" outlineLevel="0" collapsed="false">
      <c r="A6" s="15"/>
      <c r="B6" s="15"/>
      <c r="D6" s="16"/>
      <c r="E6" s="16"/>
    </row>
    <row r="8" customFormat="false" ht="15" hidden="false" customHeight="false" outlineLevel="0" collapsed="false">
      <c r="A8" s="17" t="s">
        <v>129</v>
      </c>
      <c r="B8" s="17" t="s">
        <v>130</v>
      </c>
      <c r="D8" s="17" t="s">
        <v>73</v>
      </c>
      <c r="E8" s="17" t="s">
        <v>131</v>
      </c>
      <c r="G8" s="17" t="s">
        <v>132</v>
      </c>
      <c r="H8" s="17" t="s">
        <v>133</v>
      </c>
      <c r="J8" s="17" t="s">
        <v>75</v>
      </c>
      <c r="K8" s="17" t="s">
        <v>133</v>
      </c>
    </row>
    <row r="9" customFormat="false" ht="15" hidden="false" customHeight="false" outlineLevel="0" collapsed="false">
      <c r="A9" s="18" t="s">
        <v>134</v>
      </c>
      <c r="B9" s="19" t="n">
        <f aca="false">COUNTIF('Hoja de ruta'!F5:F14,"Completado")</f>
        <v>0</v>
      </c>
      <c r="D9" s="18" t="s">
        <v>100</v>
      </c>
      <c r="E9" s="19" t="n">
        <f aca="false">COUNTIF('Seguimiento de proyectos'!$G$5:$G$11,"Muy alta")</f>
        <v>0</v>
      </c>
      <c r="G9" s="20" t="s">
        <v>134</v>
      </c>
      <c r="H9" s="21" t="n">
        <f aca="false">COUNTIF('Seguimiento de proyectos'!$J$5:$J$11,"Completado")</f>
        <v>0</v>
      </c>
      <c r="J9" s="20" t="s">
        <v>99</v>
      </c>
      <c r="K9" s="21" t="n">
        <f aca="false">COUNTIF('Seguimiento de proyectos'!$K$5:$K$11,"Por iniciar")</f>
        <v>2</v>
      </c>
    </row>
    <row r="10" customFormat="false" ht="15" hidden="false" customHeight="false" outlineLevel="0" collapsed="false">
      <c r="A10" s="18" t="s">
        <v>34</v>
      </c>
      <c r="B10" s="19" t="n">
        <f aca="false">COUNTIF('Hoja de ruta'!F5:F14,"En curso")</f>
        <v>1</v>
      </c>
      <c r="D10" s="18" t="s">
        <v>101</v>
      </c>
      <c r="E10" s="19" t="n">
        <f aca="false">COUNTIF('Seguimiento de proyectos'!$G$5:$G$11,"Alta")</f>
        <v>4</v>
      </c>
      <c r="G10" s="20" t="s">
        <v>34</v>
      </c>
      <c r="H10" s="21" t="n">
        <f aca="false">COUNTIF('Seguimiento de proyectos'!$J$5:$J$11,"En curso")</f>
        <v>3</v>
      </c>
      <c r="J10" s="20" t="s">
        <v>88</v>
      </c>
      <c r="K10" s="21" t="n">
        <f aca="false">COUNTIF('Seguimiento de proyectos'!$K$5:$K$11,"En desarrollo")</f>
        <v>1</v>
      </c>
    </row>
    <row r="11" customFormat="false" ht="15" hidden="false" customHeight="false" outlineLevel="0" collapsed="false">
      <c r="A11" s="18" t="s">
        <v>121</v>
      </c>
      <c r="B11" s="19" t="n">
        <f aca="false">COUNTIF('Hoja de ruta'!F5:F14,"Bloqueado")</f>
        <v>0</v>
      </c>
      <c r="D11" s="18" t="s">
        <v>109</v>
      </c>
      <c r="E11" s="19" t="n">
        <f aca="false">COUNTIF('Seguimiento de proyectos'!$G$5:$G$11,"Media")</f>
        <v>0</v>
      </c>
      <c r="G11" s="20" t="s">
        <v>121</v>
      </c>
      <c r="H11" s="21" t="n">
        <f aca="false">COUNTIF('Seguimiento de proyectos'!$J$5:$J$11,"Bloqueado")</f>
        <v>1</v>
      </c>
      <c r="J11" s="20" t="s">
        <v>107</v>
      </c>
      <c r="K11" s="21" t="n">
        <f aca="false">COUNTIF('Seguimiento de proyectos'!$K$5:$K$11,"En pruebas de calidad")</f>
        <v>1</v>
      </c>
    </row>
    <row r="12" customFormat="false" ht="15" hidden="false" customHeight="false" outlineLevel="0" collapsed="false">
      <c r="A12" s="18" t="s">
        <v>39</v>
      </c>
      <c r="B12" s="19" t="n">
        <f aca="false">COUNTIF('Hoja de ruta'!F5:F14,"No iniciado")</f>
        <v>9</v>
      </c>
      <c r="D12" s="18" t="s">
        <v>116</v>
      </c>
      <c r="E12" s="19" t="n">
        <f aca="false">COUNTIF('Seguimiento de proyectos'!$G$5:$G$11,"Baja")</f>
        <v>1</v>
      </c>
      <c r="G12" s="20" t="s">
        <v>39</v>
      </c>
      <c r="H12" s="21" t="n">
        <f aca="false">COUNTIF('Seguimiento de proyectos'!$J$5:$J$11,"No iniciado")</f>
        <v>1</v>
      </c>
      <c r="J12" s="20" t="s">
        <v>113</v>
      </c>
      <c r="K12" s="21" t="n">
        <f aca="false">COUNTIF('Seguimiento de proyectos'!$K$5:$K$11,"En producción (ventana de observación)")</f>
        <v>1</v>
      </c>
    </row>
    <row r="13" customFormat="false" ht="15" hidden="false" customHeight="false" outlineLevel="0" collapsed="false">
      <c r="J13" s="20" t="s">
        <v>135</v>
      </c>
      <c r="K13" s="21" t="n">
        <f aca="false">COUNTIF('Seguimiento de proyectos'!$K$5:$K$11,"En producción (estable)")</f>
        <v>0</v>
      </c>
    </row>
    <row r="16" customFormat="false" ht="15" hidden="false" customHeight="false" outlineLevel="0" collapsed="false">
      <c r="A16" s="22" t="s">
        <v>136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</row>
    <row r="17" customFormat="false" ht="15" hidden="false" customHeight="true" outlineLevel="0" collapsed="false">
      <c r="A17" s="8" t="s">
        <v>137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9" customFormat="false" ht="35.05" hidden="false" customHeight="false" outlineLevel="0" collapsed="false">
      <c r="A19" s="17" t="s">
        <v>138</v>
      </c>
      <c r="B19" s="23" t="n">
        <v>2</v>
      </c>
      <c r="C19" s="24" t="s">
        <v>139</v>
      </c>
    </row>
    <row r="21" customFormat="false" ht="15" hidden="false" customHeight="false" outlineLevel="0" collapsed="false">
      <c r="A21" s="17" t="s">
        <v>140</v>
      </c>
    </row>
    <row r="22" customFormat="false" ht="23.85" hidden="false" customHeight="false" outlineLevel="0" collapsed="false">
      <c r="A22" s="25" t="s">
        <v>141</v>
      </c>
      <c r="B22" s="26" t="str">
        <f aca="false">IFERROR(SUMPRODUCT(('Seguimiento de proyectos'!$J$5:$J$11="Completado")*('Seguimiento de proyectos'!$P$5:$P$11&lt;&gt;"")*('Seguimiento de proyectos'!$L$5:$L$11&lt;&gt;"")*('Seguimiento de proyectos'!$P$5:$P$11-'Seguimiento de proyectos'!$L$5:$L$11))/SUMPRODUCT(('Seguimiento de proyectos'!$J$5:$J$11="Completado")*('Seguimiento de proyectos'!$P$5:$P$11&lt;&gt;"")*('Seguimiento de proyectos'!$L$5:$L$11&lt;&gt;"")),"")</f>
        <v/>
      </c>
      <c r="C22" s="24" t="s">
        <v>142</v>
      </c>
    </row>
    <row r="23" customFormat="false" ht="23.85" hidden="false" customHeight="false" outlineLevel="0" collapsed="false">
      <c r="A23" s="25" t="s">
        <v>143</v>
      </c>
      <c r="B23" s="26" t="str">
        <f aca="false">IFERROR(SUMPRODUCT(('Seguimiento de proyectos'!$J$5:$J$11="Completado")*('Seguimiento de proyectos'!$P$5:$P$11&lt;&gt;"")*('Seguimiento de proyectos'!$O$5:$O$11&lt;&gt;"")*('Seguimiento de proyectos'!$P$5:$P$11-'Seguimiento de proyectos'!$O$5:$O$11))/SUMPRODUCT(('Seguimiento de proyectos'!$J$5:$J$11="Completado")*('Seguimiento de proyectos'!$P$5:$P$11&lt;&gt;"")*('Seguimiento de proyectos'!$O$5:$O$11&lt;&gt;"")),"")</f>
        <v/>
      </c>
      <c r="C23" s="24" t="s">
        <v>144</v>
      </c>
    </row>
    <row r="24" customFormat="false" ht="23.85" hidden="false" customHeight="false" outlineLevel="0" collapsed="false">
      <c r="A24" s="25" t="s">
        <v>145</v>
      </c>
      <c r="B24" s="27" t="str">
        <f aca="false">IFERROR(B23/B22*100,"")</f>
        <v/>
      </c>
      <c r="C24" s="24" t="s">
        <v>146</v>
      </c>
    </row>
    <row r="25" customFormat="false" ht="35.05" hidden="false" customHeight="false" outlineLevel="0" collapsed="false">
      <c r="A25" s="25" t="s">
        <v>147</v>
      </c>
      <c r="B25" s="27" t="str">
        <f aca="false">IFERROR(SUMPRODUCT(('Seguimiento de proyectos'!$D$5:$D$11="Tiene fecha límite real")*('Seguimiento de proyectos'!$J$5:$J$11="Completado")*('Seguimiento de proyectos'!$P$5:$P$11&lt;&gt;"")*('Seguimiento de proyectos'!$M$5:$M$11&lt;&gt;"")*('Seguimiento de proyectos'!$P$5:$P$11&lt;='Seguimiento de proyectos'!$M$5:$M$11))/SUMPRODUCT(('Seguimiento de proyectos'!$D$5:$D$11="Tiene fecha límite real")*('Seguimiento de proyectos'!$J$5:$J$11="Completado")*('Seguimiento de proyectos'!$P$5:$P$11&lt;&gt;"")*('Seguimiento de proyectos'!$M$5:$M$11&lt;&gt;""))*100,"")</f>
        <v/>
      </c>
      <c r="C25" s="24" t="s">
        <v>148</v>
      </c>
    </row>
    <row r="27" customFormat="false" ht="15" hidden="false" customHeight="true" outlineLevel="0" collapsed="false">
      <c r="A27" s="8" t="s">
        <v>149</v>
      </c>
      <c r="B27" s="8"/>
      <c r="C27" s="8"/>
      <c r="D27" s="8"/>
      <c r="E27" s="8"/>
      <c r="F27" s="8"/>
      <c r="G27" s="8"/>
      <c r="H27" s="8"/>
      <c r="I27" s="8"/>
      <c r="J27" s="8"/>
      <c r="K27" s="8"/>
    </row>
    <row r="29" customFormat="false" ht="15" hidden="false" customHeight="false" outlineLevel="0" collapsed="false">
      <c r="A29" s="9" t="s">
        <v>150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26.85" hidden="false" customHeight="false" outlineLevel="0" collapsed="false">
      <c r="A30" s="28" t="s">
        <v>151</v>
      </c>
      <c r="B30" s="29" t="s">
        <v>152</v>
      </c>
      <c r="C30" s="29" t="s">
        <v>153</v>
      </c>
    </row>
    <row r="31" customFormat="false" ht="15" hidden="false" customHeight="false" outlineLevel="0" collapsed="false">
      <c r="A31" s="30" t="s">
        <v>154</v>
      </c>
      <c r="B31" s="19" t="n">
        <f aca="false">IF($A31="",0,IFERROR(COUNTIFS('Seguimiento de proyectos'!$Q$5:$Q$11,$A31,'Seguimiento de proyectos'!$J$5:$J$11,"En curso"),0))</f>
        <v>0</v>
      </c>
      <c r="C31" s="19" t="str">
        <f aca="false">IF($A31="","",IF(B31&lt;=$B$19,"Sí","No"))</f>
        <v>Sí</v>
      </c>
    </row>
    <row r="32" customFormat="false" ht="15" hidden="false" customHeight="false" outlineLevel="0" collapsed="false">
      <c r="A32" s="30" t="s">
        <v>155</v>
      </c>
      <c r="B32" s="19" t="n">
        <f aca="false">IF($A32="",0,IFERROR(COUNTIFS('Seguimiento de proyectos'!$Q$5:$Q$11,$A32,'Seguimiento de proyectos'!$J$5:$J$11,"En curso"),0))</f>
        <v>0</v>
      </c>
      <c r="C32" s="19" t="str">
        <f aca="false">IF($A32="","",IF(B32&lt;=$B$19,"Sí","No"))</f>
        <v>Sí</v>
      </c>
    </row>
    <row r="33" customFormat="false" ht="15" hidden="false" customHeight="false" outlineLevel="0" collapsed="false">
      <c r="A33" s="31"/>
      <c r="B33" s="19" t="n">
        <f aca="false">IF($A33="",0,IFERROR(COUNTIFS('Seguimiento de proyectos'!$Q$5:$Q$11,$A33,'Seguimiento de proyectos'!$J$5:$J$11,"En curso"),0))</f>
        <v>0</v>
      </c>
      <c r="C33" s="19" t="str">
        <f aca="false">IF($A33="","",IF(B33&lt;=$B$19,"Sí","No"))</f>
        <v/>
      </c>
    </row>
    <row r="34" customFormat="false" ht="15" hidden="false" customHeight="false" outlineLevel="0" collapsed="false">
      <c r="A34" s="31"/>
      <c r="B34" s="19" t="n">
        <f aca="false">IF($A34="",0,IFERROR(COUNTIFS('Seguimiento de proyectos'!$Q$5:$Q$11,$A34,'Seguimiento de proyectos'!$J$5:$J$11,"En curso"),0))</f>
        <v>0</v>
      </c>
      <c r="C34" s="19" t="str">
        <f aca="false">IF($A34="","",IF(B34&lt;=$B$19,"Sí","No"))</f>
        <v/>
      </c>
    </row>
    <row r="35" customFormat="false" ht="15" hidden="false" customHeight="false" outlineLevel="0" collapsed="false">
      <c r="A35" s="31"/>
      <c r="B35" s="19" t="n">
        <f aca="false">IF($A35="",0,IFERROR(COUNTIFS('Seguimiento de proyectos'!$Q$5:$Q$11,$A35,'Seguimiento de proyectos'!$J$5:$J$11,"En curso"),0))</f>
        <v>0</v>
      </c>
      <c r="C35" s="19" t="str">
        <f aca="false">IF($A35="","",IF(B35&lt;=$B$19,"Sí","No"))</f>
        <v/>
      </c>
    </row>
    <row r="36" customFormat="false" ht="15" hidden="false" customHeight="false" outlineLevel="0" collapsed="false">
      <c r="A36" s="31"/>
      <c r="B36" s="19" t="n">
        <f aca="false">IF($A36="",0,IFERROR(COUNTIFS('Seguimiento de proyectos'!$Q$5:$Q$11,$A36,'Seguimiento de proyectos'!$J$5:$J$11,"En curso"),0))</f>
        <v>0</v>
      </c>
      <c r="C36" s="19" t="str">
        <f aca="false">IF($A36="","",IF(B36&lt;=$B$19,"Sí","No"))</f>
        <v/>
      </c>
    </row>
    <row r="37" customFormat="false" ht="15" hidden="false" customHeight="false" outlineLevel="0" collapsed="false">
      <c r="A37" s="31"/>
      <c r="B37" s="19" t="n">
        <f aca="false">IF($A37="",0,IFERROR(COUNTIFS('Seguimiento de proyectos'!$Q$5:$Q$11,$A37,'Seguimiento de proyectos'!$J$5:$J$11,"En curso"),0))</f>
        <v>0</v>
      </c>
      <c r="C37" s="19" t="str">
        <f aca="false">IF($A37="","",IF(B37&lt;=$B$19,"Sí","No"))</f>
        <v/>
      </c>
    </row>
    <row r="38" customFormat="false" ht="15" hidden="false" customHeight="false" outlineLevel="0" collapsed="false">
      <c r="A38" s="31"/>
      <c r="B38" s="19" t="n">
        <f aca="false">IF($A38="",0,IFERROR(COUNTIFS('Seguimiento de proyectos'!$Q$5:$Q$11,$A38,'Seguimiento de proyectos'!$J$5:$J$11,"En curso"),0))</f>
        <v>0</v>
      </c>
      <c r="C38" s="19" t="str">
        <f aca="false">IF($A38="","",IF(B38&lt;=$B$19,"Sí","No"))</f>
        <v/>
      </c>
    </row>
    <row r="40" customFormat="false" ht="15" hidden="false" customHeight="false" outlineLevel="0" collapsed="false">
      <c r="A40" s="17" t="s">
        <v>156</v>
      </c>
      <c r="B40" s="32" t="n">
        <f aca="false">SUM($B$31:$B$38)</f>
        <v>0</v>
      </c>
    </row>
    <row r="41" customFormat="false" ht="23.85" hidden="false" customHeight="false" outlineLevel="0" collapsed="false">
      <c r="A41" s="25" t="s">
        <v>157</v>
      </c>
      <c r="B41" s="27" t="str">
        <f aca="false">IFERROR((LARGE($B$31:$B$38,1)+LARGE($B$31:$B$38,2))/SUM($B$31:$B$38)*100,"")</f>
        <v/>
      </c>
      <c r="C41" s="24" t="s">
        <v>158</v>
      </c>
    </row>
    <row r="42" customFormat="false" ht="23.85" hidden="false" customHeight="false" outlineLevel="0" collapsed="false">
      <c r="A42" s="25" t="s">
        <v>159</v>
      </c>
      <c r="B42" s="27" t="str">
        <f aca="false">IFERROR(SUMPRODUCT(($B$31:$B$38&gt;0)*($B$31:$B$38&lt;=$B$19))/SUMPRODUCT(($B$31:$B$38&gt;0)*1)*100,"")</f>
        <v/>
      </c>
      <c r="C42" s="24" t="s">
        <v>160</v>
      </c>
    </row>
    <row r="44" customFormat="false" ht="43.5" hidden="false" customHeight="true" outlineLevel="0" collapsed="false">
      <c r="A44" s="8" t="s">
        <v>161</v>
      </c>
      <c r="B44" s="8"/>
      <c r="C44" s="8"/>
      <c r="D44" s="8"/>
      <c r="E44" s="8"/>
      <c r="F44" s="8"/>
      <c r="G44" s="8"/>
      <c r="H44" s="8"/>
      <c r="I44" s="8"/>
      <c r="J44" s="8"/>
      <c r="K44" s="8"/>
    </row>
  </sheetData>
  <mergeCells count="11">
    <mergeCell ref="A1:K1"/>
    <mergeCell ref="A2:K2"/>
    <mergeCell ref="A4:B4"/>
    <mergeCell ref="D4:E4"/>
    <mergeCell ref="A5:B6"/>
    <mergeCell ref="D5:E6"/>
    <mergeCell ref="A16:K16"/>
    <mergeCell ref="A17:K17"/>
    <mergeCell ref="A27:K27"/>
    <mergeCell ref="A29:K29"/>
    <mergeCell ref="A44:K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2026-08-18T19:45:10Z</dcterms:created>
  <dc:creator>openpyxl</dc:creator>
  <dc:description/>
  <dc:language>en-US</dc:language>
  <cp:lastModifiedBy/>
  <dcterms:modified xsi:type="dcterms:W3CDTF">2026-08-18T19:45:32Z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